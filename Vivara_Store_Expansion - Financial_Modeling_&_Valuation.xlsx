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n\Downloads\"/>
    </mc:Choice>
  </mc:AlternateContent>
  <xr:revisionPtr revIDLastSave="0" documentId="13_ncr:1_{20AA209A-6D13-4EA3-86D1-581CB0E9A3B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ssumption" sheetId="1" r:id="rId1"/>
    <sheet name="Summary" sheetId="2" r:id="rId2"/>
    <sheet name="Income Statement_Main" sheetId="3" r:id="rId3"/>
    <sheet name="Income Statement_Branch" sheetId="4" r:id="rId4"/>
    <sheet name="Cash Flow" sheetId="5" r:id="rId5"/>
    <sheet name="Balance Sheet" sheetId="6" r:id="rId6"/>
    <sheet name="Revenue" sheetId="8" r:id="rId7"/>
    <sheet name="Cost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3" i="9" l="1"/>
  <c r="L53" i="9"/>
  <c r="K53" i="9"/>
  <c r="J53" i="9"/>
  <c r="I53" i="9"/>
  <c r="H53" i="9"/>
  <c r="G53" i="9"/>
  <c r="F53" i="9"/>
  <c r="E53" i="9"/>
  <c r="D53" i="9"/>
  <c r="C53" i="9"/>
  <c r="B53" i="9"/>
  <c r="M44" i="9"/>
  <c r="L44" i="9"/>
  <c r="K44" i="9"/>
  <c r="J44" i="9"/>
  <c r="I44" i="9"/>
  <c r="H44" i="9"/>
  <c r="G44" i="9"/>
  <c r="F44" i="9"/>
  <c r="E44" i="9"/>
  <c r="D44" i="9"/>
  <c r="C44" i="9"/>
  <c r="B44" i="9"/>
  <c r="M34" i="9"/>
  <c r="L34" i="9"/>
  <c r="K34" i="9"/>
  <c r="J34" i="9"/>
  <c r="I34" i="9"/>
  <c r="H34" i="9"/>
  <c r="G34" i="9"/>
  <c r="F34" i="9"/>
  <c r="E34" i="9"/>
  <c r="D34" i="9"/>
  <c r="C34" i="9"/>
  <c r="B34" i="9"/>
  <c r="M24" i="9"/>
  <c r="L24" i="9"/>
  <c r="K24" i="9"/>
  <c r="J24" i="9"/>
  <c r="I24" i="9"/>
  <c r="H24" i="9"/>
  <c r="G24" i="9"/>
  <c r="F24" i="9"/>
  <c r="E24" i="9"/>
  <c r="D24" i="9"/>
  <c r="C24" i="9"/>
  <c r="B24" i="9"/>
  <c r="M15" i="9"/>
  <c r="L15" i="9"/>
  <c r="K15" i="9"/>
  <c r="J15" i="9"/>
  <c r="I15" i="9"/>
  <c r="H15" i="9"/>
  <c r="G15" i="9"/>
  <c r="F15" i="9"/>
  <c r="E15" i="9"/>
  <c r="D15" i="9"/>
  <c r="C15" i="9"/>
  <c r="B15" i="9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 s="1"/>
  <c r="N30" i="8"/>
  <c r="M30" i="8"/>
  <c r="L30" i="8"/>
  <c r="K30" i="8"/>
  <c r="J30" i="8"/>
  <c r="I30" i="8"/>
  <c r="H30" i="8"/>
  <c r="G30" i="8"/>
  <c r="F30" i="8"/>
  <c r="E30" i="8"/>
  <c r="D30" i="8"/>
  <c r="B30" i="8" s="1"/>
  <c r="C30" i="8"/>
  <c r="E26" i="8"/>
  <c r="F18" i="8" s="1"/>
  <c r="B18" i="8" s="1"/>
  <c r="E25" i="8"/>
  <c r="E24" i="8"/>
  <c r="K16" i="8" s="1"/>
  <c r="I19" i="8"/>
  <c r="G19" i="8"/>
  <c r="D19" i="8"/>
  <c r="N18" i="8"/>
  <c r="M18" i="8"/>
  <c r="L18" i="8"/>
  <c r="K18" i="8"/>
  <c r="J18" i="8"/>
  <c r="J19" i="8" s="1"/>
  <c r="J20" i="8" s="1"/>
  <c r="I18" i="8"/>
  <c r="H18" i="8"/>
  <c r="H19" i="8" s="1"/>
  <c r="G18" i="8"/>
  <c r="E18" i="8"/>
  <c r="D18" i="8"/>
  <c r="C18" i="8"/>
  <c r="N17" i="8"/>
  <c r="N19" i="8" s="1"/>
  <c r="M17" i="8"/>
  <c r="M19" i="8" s="1"/>
  <c r="L17" i="8"/>
  <c r="L19" i="8" s="1"/>
  <c r="K17" i="8"/>
  <c r="K19" i="8" s="1"/>
  <c r="J17" i="8"/>
  <c r="I17" i="8"/>
  <c r="H17" i="8"/>
  <c r="G17" i="8"/>
  <c r="F17" i="8"/>
  <c r="E17" i="8"/>
  <c r="E19" i="8" s="1"/>
  <c r="D17" i="8"/>
  <c r="C17" i="8"/>
  <c r="C19" i="8" s="1"/>
  <c r="N16" i="8"/>
  <c r="N20" i="8" s="1"/>
  <c r="M16" i="8"/>
  <c r="M20" i="8" s="1"/>
  <c r="L16" i="8"/>
  <c r="L20" i="8" s="1"/>
  <c r="J16" i="8"/>
  <c r="G16" i="8"/>
  <c r="G20" i="8" s="1"/>
  <c r="D16" i="8"/>
  <c r="D20" i="8" s="1"/>
  <c r="C16" i="8"/>
  <c r="C20" i="8" s="1"/>
  <c r="B12" i="8"/>
  <c r="B11" i="8"/>
  <c r="B10" i="8"/>
  <c r="F42" i="5"/>
  <c r="F43" i="5" s="1"/>
  <c r="F44" i="5" s="1"/>
  <c r="F35" i="5"/>
  <c r="F38" i="5" s="1"/>
  <c r="F45" i="5" s="1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B62" i="2"/>
  <c r="G61" i="2"/>
  <c r="B61" i="2"/>
  <c r="B60" i="2"/>
  <c r="B59" i="2"/>
  <c r="G58" i="2"/>
  <c r="F58" i="2"/>
  <c r="F61" i="2" s="1"/>
  <c r="E58" i="2"/>
  <c r="E61" i="2" s="1"/>
  <c r="D58" i="2"/>
  <c r="D61" i="2" s="1"/>
  <c r="C58" i="2"/>
  <c r="C61" i="2" s="1"/>
  <c r="B58" i="2"/>
  <c r="F23" i="2" s="1"/>
  <c r="G56" i="2"/>
  <c r="G59" i="2" s="1"/>
  <c r="F56" i="2"/>
  <c r="F59" i="2" s="1"/>
  <c r="E56" i="2"/>
  <c r="E59" i="2" s="1"/>
  <c r="D56" i="2"/>
  <c r="D59" i="2" s="1"/>
  <c r="C56" i="2"/>
  <c r="C59" i="2" s="1"/>
  <c r="B56" i="2"/>
  <c r="B49" i="2"/>
  <c r="B48" i="2"/>
  <c r="B47" i="2"/>
  <c r="B46" i="2"/>
  <c r="G45" i="2"/>
  <c r="G48" i="2" s="1"/>
  <c r="F45" i="2"/>
  <c r="F48" i="2" s="1"/>
  <c r="E45" i="2"/>
  <c r="E48" i="2" s="1"/>
  <c r="D45" i="2"/>
  <c r="D48" i="2" s="1"/>
  <c r="C45" i="2"/>
  <c r="C48" i="2" s="1"/>
  <c r="B45" i="2"/>
  <c r="G43" i="2"/>
  <c r="E20" i="2" s="1"/>
  <c r="F43" i="2"/>
  <c r="F46" i="2" s="1"/>
  <c r="E43" i="2"/>
  <c r="E46" i="2" s="1"/>
  <c r="D43" i="2"/>
  <c r="D46" i="2" s="1"/>
  <c r="C43" i="2"/>
  <c r="C46" i="2" s="1"/>
  <c r="B43" i="2"/>
  <c r="B36" i="2"/>
  <c r="B35" i="2"/>
  <c r="B34" i="2"/>
  <c r="B33" i="2"/>
  <c r="G32" i="2"/>
  <c r="G35" i="2" s="1"/>
  <c r="F32" i="2"/>
  <c r="F35" i="2" s="1"/>
  <c r="E32" i="2"/>
  <c r="E35" i="2" s="1"/>
  <c r="D32" i="2"/>
  <c r="D35" i="2" s="1"/>
  <c r="C32" i="2"/>
  <c r="C35" i="2" s="1"/>
  <c r="C36" i="2" s="1"/>
  <c r="B32" i="2"/>
  <c r="G30" i="2"/>
  <c r="G33" i="2" s="1"/>
  <c r="F30" i="2"/>
  <c r="F33" i="2" s="1"/>
  <c r="E30" i="2"/>
  <c r="E33" i="2" s="1"/>
  <c r="D30" i="2"/>
  <c r="D33" i="2" s="1"/>
  <c r="C30" i="2"/>
  <c r="C33" i="2" s="1"/>
  <c r="B30" i="2"/>
  <c r="E18" i="2" s="1"/>
  <c r="F22" i="2"/>
  <c r="E22" i="2"/>
  <c r="D36" i="2" l="1"/>
  <c r="E36" i="2" s="1"/>
  <c r="F36" i="2" s="1"/>
  <c r="E19" i="2"/>
  <c r="F19" i="2"/>
  <c r="C49" i="2"/>
  <c r="D49" i="2" s="1"/>
  <c r="E49" i="2" s="1"/>
  <c r="E21" i="2"/>
  <c r="D23" i="2"/>
  <c r="C47" i="2"/>
  <c r="D47" i="2" s="1"/>
  <c r="E47" i="2" s="1"/>
  <c r="G36" i="2"/>
  <c r="G19" i="2"/>
  <c r="G21" i="2"/>
  <c r="F49" i="2"/>
  <c r="G49" i="2" s="1"/>
  <c r="D22" i="2"/>
  <c r="B19" i="8"/>
  <c r="C60" i="2"/>
  <c r="D60" i="2" s="1"/>
  <c r="E60" i="2" s="1"/>
  <c r="F60" i="2" s="1"/>
  <c r="D21" i="2"/>
  <c r="D18" i="2"/>
  <c r="C34" i="2"/>
  <c r="D34" i="2" s="1"/>
  <c r="E34" i="2" s="1"/>
  <c r="F34" i="2" s="1"/>
  <c r="K20" i="8"/>
  <c r="D19" i="2"/>
  <c r="F19" i="8"/>
  <c r="C62" i="2"/>
  <c r="D62" i="2" s="1"/>
  <c r="E62" i="2" s="1"/>
  <c r="F62" i="2" s="1"/>
  <c r="B17" i="8"/>
  <c r="F20" i="2"/>
  <c r="E16" i="8"/>
  <c r="E23" i="2"/>
  <c r="F16" i="8"/>
  <c r="F20" i="8" s="1"/>
  <c r="H16" i="8"/>
  <c r="H20" i="8" s="1"/>
  <c r="G46" i="2"/>
  <c r="D20" i="2" s="1"/>
  <c r="F18" i="2"/>
  <c r="F21" i="2"/>
  <c r="I16" i="8"/>
  <c r="I20" i="8" s="1"/>
  <c r="G18" i="2" l="1"/>
  <c r="G34" i="2"/>
  <c r="G22" i="2"/>
  <c r="G60" i="2"/>
  <c r="G62" i="2"/>
  <c r="G23" i="2"/>
  <c r="G20" i="2"/>
  <c r="F47" i="2"/>
  <c r="G47" i="2" s="1"/>
  <c r="B16" i="8"/>
  <c r="E20" i="8"/>
  <c r="B20" i="8" s="1"/>
  <c r="Q15" i="8" s="1"/>
</calcChain>
</file>

<file path=xl/sharedStrings.xml><?xml version="1.0" encoding="utf-8"?>
<sst xmlns="http://schemas.openxmlformats.org/spreadsheetml/2006/main" count="458" uniqueCount="323">
  <si>
    <t xml:space="preserve"> </t>
  </si>
  <si>
    <t>VIVARA - Tellerina Trading Company for Gifts and Decorative Articles S.A.</t>
  </si>
  <si>
    <t>Initial Assumption</t>
  </si>
  <si>
    <t>Details</t>
  </si>
  <si>
    <t>Project</t>
  </si>
  <si>
    <t>Implementation of a Vivara branch store through a public-private partnership</t>
  </si>
  <si>
    <t>Business Model</t>
  </si>
  <si>
    <t>Jewelry Store</t>
  </si>
  <si>
    <t>Area</t>
  </si>
  <si>
    <t>Area covering the Barra and Graça neighborhoods</t>
  </si>
  <si>
    <t>Location Rationale</t>
  </si>
  <si>
    <t>The area has a high flow of affluent residents and tourists. The neighborhoods are safe and have several other stores serving a similar target audience</t>
  </si>
  <si>
    <t>Target Audience</t>
  </si>
  <si>
    <t>Residents and tourists (local and international), with high/upper-middle incomes</t>
  </si>
  <si>
    <t>Percentage of revenue or rent allocated to public-space maintenance</t>
  </si>
  <si>
    <t>5% of gross revenue</t>
  </si>
  <si>
    <t>Valuation Summary — New Vivara Store (R$ thousand)</t>
  </si>
  <si>
    <t>Assumption</t>
  </si>
  <si>
    <t>Value</t>
  </si>
  <si>
    <t>Note</t>
  </si>
  <si>
    <t>WACC / discount rate</t>
  </si>
  <si>
    <t>Used for NPV, discounted payback, and terminal value</t>
  </si>
  <si>
    <t>Terminal perpetual growth</t>
  </si>
  <si>
    <t>Applied only in the main scenario</t>
  </si>
  <si>
    <t>Partial ONWC recovery</t>
  </si>
  <si>
    <t>Applied only in the conservative sensitivity case</t>
  </si>
  <si>
    <t>Opening CAPEX</t>
  </si>
  <si>
    <t>Initial investment in the new store</t>
  </si>
  <si>
    <t>Cash flow methodology</t>
  </si>
  <si>
    <t>Option A</t>
  </si>
  <si>
    <t>FCF based on the consolidated margin; does not subtract maintenance CAPEX or ΔONWC again</t>
  </si>
  <si>
    <t>Scenario</t>
  </si>
  <si>
    <t>ONWC/Revenue</t>
  </si>
  <si>
    <t>NPV</t>
  </si>
  <si>
    <t>IRR</t>
  </si>
  <si>
    <t>Simple payback</t>
  </si>
  <si>
    <t>Discounted payback</t>
  </si>
  <si>
    <t>Expected</t>
  </si>
  <si>
    <t>Optimistic</t>
  </si>
  <si>
    <t>Pessimistic</t>
  </si>
  <si>
    <t>EXPECTED SCENARIO</t>
  </si>
  <si>
    <t>Period</t>
  </si>
  <si>
    <t>Year 0</t>
  </si>
  <si>
    <t>Year 1</t>
  </si>
  <si>
    <t>Year 2</t>
  </si>
  <si>
    <t>Year 3</t>
  </si>
  <si>
    <t>Year 4</t>
  </si>
  <si>
    <t>Year 5</t>
  </si>
  <si>
    <t>Project base cash flow</t>
  </si>
  <si>
    <t>Terminal value</t>
  </si>
  <si>
    <t>Main case</t>
  </si>
  <si>
    <t>ONWC recovery</t>
  </si>
  <si>
    <t>Sensitivity</t>
  </si>
  <si>
    <t>Main case PV</t>
  </si>
  <si>
    <t>Main case discounted balance</t>
  </si>
  <si>
    <t>Sensitivity PV</t>
  </si>
  <si>
    <t>Sensitivity discounted balance</t>
  </si>
  <si>
    <t>OPTIMISTIC SCENARIO</t>
  </si>
  <si>
    <t>PESSIMISTIC SCENARIO</t>
  </si>
  <si>
    <t>Vivara 2025 - Consolidated Income Statement (R$ thousand)</t>
  </si>
  <si>
    <t>Line</t>
  </si>
  <si>
    <t>2025/Q1</t>
  </si>
  <si>
    <t>2025/Q2</t>
  </si>
  <si>
    <t>2025/Q3</t>
  </si>
  <si>
    <t>2025/Q4</t>
  </si>
  <si>
    <t>2025 Total</t>
  </si>
  <si>
    <t>Gross Revenue from Merchandise Sales</t>
  </si>
  <si>
    <t>Gross Revenue from Services</t>
  </si>
  <si>
    <t>Returns and Exchanges</t>
  </si>
  <si>
    <t>Gross Revenue (Net of Returns)</t>
  </si>
  <si>
    <t>Gross Revenue Deductions</t>
  </si>
  <si>
    <t>Net Revenue</t>
  </si>
  <si>
    <t>(-) Cost of Products Sold and Services Provided</t>
  </si>
  <si>
    <t>(-) Depreciation and Amortization</t>
  </si>
  <si>
    <t>(=) Gross Profit</t>
  </si>
  <si>
    <t>(-) Operating Expenses</t>
  </si>
  <si>
    <t>Sales</t>
  </si>
  <si>
    <t>Personnel - Sales</t>
  </si>
  <si>
    <t>Rent and Condominiums - Sales</t>
  </si>
  <si>
    <t>Freight</t>
  </si>
  <si>
    <t>Card Commissions</t>
  </si>
  <si>
    <t>Third-Party Services - Sales</t>
  </si>
  <si>
    <t>Marketing Expenses</t>
  </si>
  <si>
    <t>Other Sales Expenses</t>
  </si>
  <si>
    <t>General and Administrative</t>
  </si>
  <si>
    <t>Personnel - G&amp;A</t>
  </si>
  <si>
    <t>Rent and Condominiums - G&amp;A</t>
  </si>
  <si>
    <t>Third-Party Services - G&amp;A</t>
  </si>
  <si>
    <t>Other General and Administrative Expenses</t>
  </si>
  <si>
    <t>Depreciation and Amortization - Operating</t>
  </si>
  <si>
    <t>Other Operating Expenses (Income)</t>
  </si>
  <si>
    <t>(=) Profit (Loss) Before Financial Result</t>
  </si>
  <si>
    <t>(=) Financial Result</t>
  </si>
  <si>
    <t>Financial Income</t>
  </si>
  <si>
    <t>Financial Expenses</t>
  </si>
  <si>
    <t>(=) Operating Profit</t>
  </si>
  <si>
    <t>Income Tax and Social Contribution</t>
  </si>
  <si>
    <t>(=) Net Income</t>
  </si>
  <si>
    <t>Jan/25</t>
  </si>
  <si>
    <t>Feb/25</t>
  </si>
  <si>
    <t>Mar/25</t>
  </si>
  <si>
    <t>Apr/25</t>
  </si>
  <si>
    <t>May/25</t>
  </si>
  <si>
    <t>Jun/25</t>
  </si>
  <si>
    <t>Jul/25</t>
  </si>
  <si>
    <t>Aug/25</t>
  </si>
  <si>
    <t>Sep/25</t>
  </si>
  <si>
    <t>Oct/25</t>
  </si>
  <si>
    <t>Nov/25</t>
  </si>
  <si>
    <t>Dec/25</t>
  </si>
  <si>
    <t>Project Gross Revenue</t>
  </si>
  <si>
    <t>(-) Public Maintenance Allocation</t>
  </si>
  <si>
    <t>(-) Revenue Deductions/Taxes</t>
  </si>
  <si>
    <t>Project Net Revenue</t>
  </si>
  <si>
    <t>(-) Cost of Goods Sold (COGS)</t>
  </si>
  <si>
    <t>(-) Store Operating Expenses</t>
  </si>
  <si>
    <t>(-) Depreciation and Amortization</t>
  </si>
  <si>
    <t>(=) Operating Result (EBIT)</t>
  </si>
  <si>
    <t>(-) Income Tax/Social Contribution on Positive Result</t>
  </si>
  <si>
    <t>(=) Project Net Income</t>
  </si>
  <si>
    <t>Rates Used in the Project Income Statement</t>
  </si>
  <si>
    <t>Calculation Base</t>
  </si>
  <si>
    <t>Gross Revenue Deductions/Taxes</t>
  </si>
  <si>
    <t>2025 Consolidated Income Statement Deductions / 2025 Gross Revenue</t>
  </si>
  <si>
    <t>COGS / Net Revenue</t>
  </si>
  <si>
    <t>2025 Consolidated Income Statement Cost of Products Sold / 2025 Net Revenue</t>
  </si>
  <si>
    <t>Store Operating Expenses / Net Revenue</t>
  </si>
  <si>
    <t>2025 Consolidated Income Statement Sales Expenses / 2025 Net Revenue</t>
  </si>
  <si>
    <t>Depreciation and Amortization / Net Revenue</t>
  </si>
  <si>
    <t>Operating Depreciation and Amortization / 2025 Net Revenue</t>
  </si>
  <si>
    <t>Income Tax/Social Contribution</t>
  </si>
  <si>
    <t>Standard Corporate Income Tax/Social Contribution Rate Used as a Proxy</t>
  </si>
  <si>
    <t>Allocation to Public Maintenance</t>
  </si>
  <si>
    <t>Percentage defined in the Assumption sheet</t>
  </si>
  <si>
    <t>Account (R$ thousand)</t>
  </si>
  <si>
    <t>Net Income</t>
  </si>
  <si>
    <t>Net Income Adjustments</t>
  </si>
  <si>
    <t>Working Capital</t>
  </si>
  <si>
    <t>Operating Cash Flow before Income Tax/Interest/Leases</t>
  </si>
  <si>
    <t>Accounts Receivable</t>
  </si>
  <si>
    <t>Inventories</t>
  </si>
  <si>
    <t>Suppliers</t>
  </si>
  <si>
    <t>Recoverable Taxes</t>
  </si>
  <si>
    <t>Tax Liabilities</t>
  </si>
  <si>
    <t>Other Assets and Liabilities</t>
  </si>
  <si>
    <t>Management Operating Cash Flow</t>
  </si>
  <si>
    <t>Total CAPEX</t>
  </si>
  <si>
    <t>Free Cash Flow Generation</t>
  </si>
  <si>
    <t>Operating Metrics</t>
  </si>
  <si>
    <t>Stores in 2024</t>
  </si>
  <si>
    <t>Stores in 2025</t>
  </si>
  <si>
    <t>Average Number of Stores</t>
  </si>
  <si>
    <t>Net Stores Opened</t>
  </si>
  <si>
    <t>New Store Opening CAPEX</t>
  </si>
  <si>
    <t>Average CAPEX</t>
  </si>
  <si>
    <t>Average FCF per Point of Sale</t>
  </si>
  <si>
    <t>Average Management OCF per Point of Sale</t>
  </si>
  <si>
    <t>Implied Equity Risk Premium (ERP)</t>
  </si>
  <si>
    <t>EMBI+ Brazil (Country Risk)</t>
  </si>
  <si>
    <t>Adjusted Market Risk Premium</t>
  </si>
  <si>
    <t>Risk-Free Rate</t>
  </si>
  <si>
    <t>ß</t>
  </si>
  <si>
    <t>Cost of Equity (Ke)</t>
  </si>
  <si>
    <t>Market Value</t>
  </si>
  <si>
    <t>Net Debt</t>
  </si>
  <si>
    <t>Interest on Borrowings</t>
  </si>
  <si>
    <t>Average Debt</t>
  </si>
  <si>
    <t>Gross Cost of Debt (Kd)</t>
  </si>
  <si>
    <t>Net Cost of Debt (Kd)</t>
  </si>
  <si>
    <t>WACC</t>
  </si>
  <si>
    <t>Δ%</t>
  </si>
  <si>
    <t>CURRENT</t>
  </si>
  <si>
    <t>Cash and Cash Equivalents</t>
  </si>
  <si>
    <t>Marketable Securities</t>
  </si>
  <si>
    <t>Accounts Receivable</t>
  </si>
  <si>
    <t>Accounts Receivable from Related Parties</t>
  </si>
  <si>
    <t>Recoverable Taxes</t>
  </si>
  <si>
    <t>Prepaid Expenses and Other Receivables</t>
  </si>
  <si>
    <t>Derivative Instruments - Asset</t>
  </si>
  <si>
    <t>Total Current Assets</t>
  </si>
  <si>
    <t>NON-CURRENT</t>
  </si>
  <si>
    <t>Judicial Deposits</t>
  </si>
  <si>
    <t>Deferred Income Tax and Social Contribution</t>
  </si>
  <si>
    <t>Property, Plant and Equipment</t>
  </si>
  <si>
    <t>Intangible Assets</t>
  </si>
  <si>
    <t>Total Non-Current Assets</t>
  </si>
  <si>
    <t>TOTAL ASSETS</t>
  </si>
  <si>
    <t>Supplier Agreement</t>
  </si>
  <si>
    <t>Loans and Financing</t>
  </si>
  <si>
    <t>Labor and Social Security Liabilities</t>
  </si>
  <si>
    <t>Tax Liabilities</t>
  </si>
  <si>
    <t>Lease Liabilities</t>
  </si>
  <si>
    <t>Derivative Instruments - Liability</t>
  </si>
  <si>
    <t>Lease Right-of-Use Liabilities</t>
  </si>
  <si>
    <t>Interest on Equity Payable</t>
  </si>
  <si>
    <t>Dividends Payable</t>
  </si>
  <si>
    <t>Other Liabilities</t>
  </si>
  <si>
    <t>Total Current Liabilities</t>
  </si>
  <si>
    <t>Provision for Civil, Labor, and Tax Risks</t>
  </si>
  <si>
    <t>Total Non-Current Liabilities</t>
  </si>
  <si>
    <t>SHAREHOLDERS’ EQUITY</t>
  </si>
  <si>
    <t>Share Capital</t>
  </si>
  <si>
    <t>Capital Reserves</t>
  </si>
  <si>
    <t>Treasury Shares</t>
  </si>
  <si>
    <t>Granted Options</t>
  </si>
  <si>
    <t>Retained Earnings Reserves</t>
  </si>
  <si>
    <t>Retained Earnings</t>
  </si>
  <si>
    <t>Other Comprehensive Income</t>
  </si>
  <si>
    <t>Total Shareholders’ Equity</t>
  </si>
  <si>
    <t>TOTAL LIABILITIES AND SHAREHOLDERS’ EQUITY</t>
  </si>
  <si>
    <t>Vivara 2025 - Revenue Estimate</t>
  </si>
  <si>
    <t>Month</t>
  </si>
  <si>
    <t>Total</t>
  </si>
  <si>
    <t>Business Days</t>
  </si>
  <si>
    <t>Revenue on Business Days</t>
  </si>
  <si>
    <t>Conversion - Business Days</t>
  </si>
  <si>
    <t>Project Financial Assumptions</t>
  </si>
  <si>
    <t>Notes/Source</t>
  </si>
  <si>
    <t>Tax Regime</t>
  </si>
  <si>
    <t>Actual Profit</t>
  </si>
  <si>
    <t>Project Assumption</t>
  </si>
  <si>
    <t>Saturdays</t>
  </si>
  <si>
    <t>Effective Rate of Revenue Deductions and Taxes</t>
  </si>
  <si>
    <t>According to the consolidated income statement: revenue deductions/taxes of 20.3%</t>
  </si>
  <si>
    <t>Sundays/Holidays</t>
  </si>
  <si>
    <t>Partnership Cost (PPP Concession Fee)</t>
  </si>
  <si>
    <t>Allocation of monthly gross revenue to public-space maintenance and integrated monitoring</t>
  </si>
  <si>
    <t>Discount Rate/WACC</t>
  </si>
  <si>
    <t>Annual rate for NPV and cash flow discounting</t>
  </si>
  <si>
    <t>Average Annual Revenue per Vivara Store (Benchmark)</t>
  </si>
  <si>
    <t>Average performance per POS used as a reference/benchmark</t>
  </si>
  <si>
    <t>Gross Revenue Estimate</t>
  </si>
  <si>
    <t>Estimated annual gross revenue from the project cash flow</t>
  </si>
  <si>
    <t>Revenue calculated from the weekly/monthly estimate of visitors, conversion, and average ticket</t>
  </si>
  <si>
    <t>Revenue on Saturdays</t>
  </si>
  <si>
    <t>Revenue on Sundays/Holidays</t>
  </si>
  <si>
    <t>Revenue on Weekends/Holidays</t>
  </si>
  <si>
    <t>Total Gross Revenue</t>
  </si>
  <si>
    <t>Day Type</t>
  </si>
  <si>
    <t>Visitors/Day in the Surrounding Area</t>
  </si>
  <si>
    <t>Conversion</t>
  </si>
  <si>
    <t>Average Ticket</t>
  </si>
  <si>
    <t>Estimated Daily Revenue</t>
  </si>
  <si>
    <t>Business Day</t>
  </si>
  <si>
    <t>Saturday</t>
  </si>
  <si>
    <t>Sunday/Holiday</t>
  </si>
  <si>
    <t>Metric</t>
  </si>
  <si>
    <t>Total/Value</t>
  </si>
  <si>
    <t>Estimated Visitors - Business Days</t>
  </si>
  <si>
    <t>Estimated Visitors - Saturdays</t>
  </si>
  <si>
    <t>Estimated Visitors - Sundays/Holidays</t>
  </si>
  <si>
    <t>Conversion - Saturdays</t>
  </si>
  <si>
    <t>Conversion - Sundays/Holidays</t>
  </si>
  <si>
    <t>Average Ticket - Business Days</t>
  </si>
  <si>
    <t>Average Ticket - Saturdays</t>
  </si>
  <si>
    <t>Average Ticket - Sundays/Holidays</t>
  </si>
  <si>
    <t>Methodological Notes</t>
  </si>
  <si>
    <t>Item</t>
  </si>
  <si>
    <t>Salaries and Payroll Charges</t>
  </si>
  <si>
    <t>Utilities (Water, Electricity, Internet)</t>
  </si>
  <si>
    <t>Maintenance and Cleaning</t>
  </si>
  <si>
    <t>Other</t>
  </si>
  <si>
    <t>TOTAL</t>
  </si>
  <si>
    <t>COGS (30.4% of Net Revenue)</t>
  </si>
  <si>
    <t>Public Concession / PPP Concession Fee (5%)</t>
  </si>
  <si>
    <t>Total Variable Costs</t>
  </si>
  <si>
    <t>Taxes and Revenue Deductions (20.3%)</t>
  </si>
  <si>
    <t>Vivara 2025 - Fixed and Variable Cost Estimate</t>
  </si>
  <si>
    <t>Fixed Costs - 2026</t>
  </si>
  <si>
    <t>Fixed Costs - 2027</t>
  </si>
  <si>
    <t>Fixed Costs - 2028</t>
  </si>
  <si>
    <t>Fixed Costs - 2029</t>
  </si>
  <si>
    <t>Fixed Costs - 2030</t>
  </si>
  <si>
    <t>Variable Costs - 2025</t>
  </si>
  <si>
    <t>Sensitivity (No Terminal Value, with ONWC Recovery)</t>
  </si>
  <si>
    <t>Main Case (Includes Terminal Value)</t>
  </si>
  <si>
    <t>Description</t>
  </si>
  <si>
    <t xml:space="preserve"> The main scenario uses a terminal value in Year 5 because the store is valued as a going concern. The sensitivity scenario does not include the terminal value</t>
  </si>
  <si>
    <t>Main Case/Sensitivity</t>
  </si>
  <si>
    <t>feb/26</t>
  </si>
  <si>
    <t>apr/26</t>
  </si>
  <si>
    <t>may/26</t>
  </si>
  <si>
    <t>aug/26</t>
  </si>
  <si>
    <t>sep/26</t>
  </si>
  <si>
    <t>oct/26</t>
  </si>
  <si>
    <t>dec/26</t>
  </si>
  <si>
    <t>feb/27</t>
  </si>
  <si>
    <t>apr/27</t>
  </si>
  <si>
    <t>may/27</t>
  </si>
  <si>
    <t>aug/27</t>
  </si>
  <si>
    <t>sep/27</t>
  </si>
  <si>
    <t>oct/27</t>
  </si>
  <si>
    <t>dec/27</t>
  </si>
  <si>
    <t>feb/28</t>
  </si>
  <si>
    <t>apr/28</t>
  </si>
  <si>
    <t>may/28</t>
  </si>
  <si>
    <t>aug/28</t>
  </si>
  <si>
    <t>sep/28</t>
  </si>
  <si>
    <t>oct/28</t>
  </si>
  <si>
    <t>dec/28</t>
  </si>
  <si>
    <t>feb/29</t>
  </si>
  <si>
    <t>apr/29</t>
  </si>
  <si>
    <t>may/29</t>
  </si>
  <si>
    <t>aug/29</t>
  </si>
  <si>
    <t>sep/29</t>
  </si>
  <si>
    <t>oct/29</t>
  </si>
  <si>
    <t>dec/29</t>
  </si>
  <si>
    <t>feb/30</t>
  </si>
  <si>
    <t>apr/30</t>
  </si>
  <si>
    <t>may/30</t>
  </si>
  <si>
    <t>aug/30</t>
  </si>
  <si>
    <t>sep/30</t>
  </si>
  <si>
    <t>oct/30</t>
  </si>
  <si>
    <t>dec/30</t>
  </si>
  <si>
    <t>jan/30</t>
  </si>
  <si>
    <t>mar/30</t>
  </si>
  <si>
    <t>feb/25</t>
  </si>
  <si>
    <t>apr/25</t>
  </si>
  <si>
    <t>may/25</t>
  </si>
  <si>
    <t>aug/25</t>
  </si>
  <si>
    <t>sep/25</t>
  </si>
  <si>
    <t>oct/25</t>
  </si>
  <si>
    <t>dec/25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</si>
</sst>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#,##0;[Red]\(#,##0\);\-"/>
    <numFmt numFmtId="165" formatCode="0.0%;[Red]\(0.0%\);\-"/>
    <numFmt numFmtId="166" formatCode="#,##0.0;[Red]\(#,##0.0\);\-"/>
    <numFmt numFmtId="167" formatCode="0.0;[Red]\(0.0\);\-"/>
    <numFmt numFmtId="168" formatCode="0.0%"/>
    <numFmt numFmtId="169" formatCode="\R\$\ #,##0;[Red]\(\R\$\ #,##0\);\-"/>
  </numFmts>
  <fonts count="22">
    <font>
      <sz val="11"/>
      <name val="Carlito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rlito"/>
    </font>
    <font>
      <sz val="11"/>
      <color theme="10"/>
      <name val="Carlito"/>
    </font>
    <font>
      <b/>
      <sz val="1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F4A982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</patternFill>
    </fill>
    <fill>
      <patternFill patternType="solid">
        <fgColor rgb="FFF4B183"/>
      </patternFill>
    </fill>
    <fill>
      <patternFill patternType="solid">
        <fgColor theme="0"/>
      </patternFill>
    </fill>
    <fill>
      <patternFill patternType="solid">
        <fgColor rgb="FFF4A982"/>
      </patternFill>
    </fill>
    <fill>
      <patternFill patternType="solid">
        <fgColor theme="0"/>
        <bgColor indexed="64"/>
      </patternFill>
    </fill>
    <fill>
      <patternFill patternType="solid">
        <fgColor rgb="FFF4A98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4" fillId="0" borderId="1"/>
    <xf numFmtId="0" fontId="5" fillId="0" borderId="1" applyNumberFormat="0" applyFill="0" applyBorder="0" applyAlignment="0" applyProtection="0"/>
    <xf numFmtId="0" fontId="1" fillId="0" borderId="5"/>
  </cellStyleXfs>
  <cellXfs count="179">
    <xf numFmtId="0" fontId="0" fillId="0" borderId="0" xfId="0"/>
    <xf numFmtId="0" fontId="2" fillId="0" borderId="0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6" fillId="0" borderId="1" xfId="1" applyFont="1"/>
    <xf numFmtId="0" fontId="7" fillId="0" borderId="1" xfId="1" applyFont="1"/>
    <xf numFmtId="0" fontId="9" fillId="3" borderId="2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7" fillId="0" borderId="2" xfId="1" applyFont="1" applyBorder="1"/>
    <xf numFmtId="164" fontId="7" fillId="0" borderId="3" xfId="1" applyNumberFormat="1" applyFont="1" applyBorder="1"/>
    <xf numFmtId="164" fontId="7" fillId="0" borderId="4" xfId="1" applyNumberFormat="1" applyFont="1" applyBorder="1"/>
    <xf numFmtId="0" fontId="6" fillId="4" borderId="2" xfId="1" applyFont="1" applyFill="1" applyBorder="1"/>
    <xf numFmtId="164" fontId="6" fillId="4" borderId="3" xfId="1" applyNumberFormat="1" applyFont="1" applyFill="1" applyBorder="1"/>
    <xf numFmtId="164" fontId="6" fillId="4" borderId="4" xfId="1" applyNumberFormat="1" applyFont="1" applyFill="1" applyBorder="1"/>
    <xf numFmtId="0" fontId="4" fillId="0" borderId="1" xfId="1" applyFont="1"/>
    <xf numFmtId="0" fontId="3" fillId="3" borderId="2" xfId="0" applyNumberFormat="1" applyFont="1" applyFill="1" applyBorder="1"/>
    <xf numFmtId="0" fontId="3" fillId="3" borderId="3" xfId="0" applyNumberFormat="1" applyFont="1" applyFill="1" applyBorder="1"/>
    <xf numFmtId="0" fontId="3" fillId="3" borderId="4" xfId="0" applyNumberFormat="1" applyFont="1" applyFill="1" applyBorder="1"/>
    <xf numFmtId="0" fontId="2" fillId="5" borderId="2" xfId="0" applyNumberFormat="1" applyFont="1" applyFill="1" applyBorder="1" applyAlignment="1">
      <alignment horizontal="left"/>
    </xf>
    <xf numFmtId="165" fontId="2" fillId="5" borderId="3" xfId="0" applyNumberFormat="1" applyFont="1" applyFill="1" applyBorder="1" applyAlignment="1">
      <alignment horizontal="center"/>
    </xf>
    <xf numFmtId="166" fontId="2" fillId="5" borderId="3" xfId="0" applyNumberFormat="1" applyFont="1" applyFill="1" applyBorder="1" applyAlignment="1">
      <alignment horizontal="center"/>
    </xf>
    <xf numFmtId="167" fontId="2" fillId="5" borderId="3" xfId="0" applyNumberFormat="1" applyFont="1" applyFill="1" applyBorder="1" applyAlignment="1">
      <alignment horizontal="center"/>
    </xf>
    <xf numFmtId="167" fontId="2" fillId="5" borderId="4" xfId="0" applyNumberFormat="1" applyFont="1" applyFill="1" applyBorder="1" applyAlignment="1">
      <alignment horizontal="center"/>
    </xf>
    <xf numFmtId="0" fontId="3" fillId="2" borderId="2" xfId="0" applyNumberFormat="1" applyFont="1" applyFill="1" applyBorder="1"/>
    <xf numFmtId="0" fontId="2" fillId="0" borderId="2" xfId="0" applyNumberFormat="1" applyFont="1" applyFill="1" applyBorder="1"/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right" vertical="center"/>
    </xf>
    <xf numFmtId="0" fontId="3" fillId="2" borderId="4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/>
    <xf numFmtId="165" fontId="3" fillId="2" borderId="4" xfId="0" applyNumberFormat="1" applyFont="1" applyFill="1" applyBorder="1"/>
    <xf numFmtId="164" fontId="2" fillId="0" borderId="3" xfId="0" applyNumberFormat="1" applyFont="1" applyFill="1" applyBorder="1"/>
    <xf numFmtId="165" fontId="2" fillId="0" borderId="4" xfId="0" applyNumberFormat="1" applyFont="1" applyFill="1" applyBorder="1"/>
    <xf numFmtId="0" fontId="10" fillId="4" borderId="2" xfId="0" applyNumberFormat="1" applyFont="1" applyFill="1" applyBorder="1"/>
    <xf numFmtId="164" fontId="10" fillId="4" borderId="3" xfId="0" applyNumberFormat="1" applyFont="1" applyFill="1" applyBorder="1"/>
    <xf numFmtId="165" fontId="10" fillId="4" borderId="4" xfId="0" applyNumberFormat="1" applyFont="1" applyFill="1" applyBorder="1"/>
    <xf numFmtId="0" fontId="12" fillId="0" borderId="0" xfId="0" applyNumberFormat="1" applyFont="1" applyFill="1" applyBorder="1"/>
    <xf numFmtId="0" fontId="7" fillId="0" borderId="0" xfId="0" applyFont="1"/>
    <xf numFmtId="10" fontId="7" fillId="5" borderId="4" xfId="0" applyNumberFormat="1" applyFont="1" applyFill="1" applyBorder="1"/>
    <xf numFmtId="4" fontId="7" fillId="5" borderId="4" xfId="0" applyNumberFormat="1" applyFont="1" applyFill="1" applyBorder="1"/>
    <xf numFmtId="8" fontId="7" fillId="5" borderId="4" xfId="0" applyNumberFormat="1" applyFont="1" applyFill="1" applyBorder="1"/>
    <xf numFmtId="0" fontId="12" fillId="0" borderId="2" xfId="0" applyNumberFormat="1" applyFont="1" applyFill="1" applyBorder="1"/>
    <xf numFmtId="164" fontId="12" fillId="0" borderId="3" xfId="0" applyNumberFormat="1" applyFont="1" applyFill="1" applyBorder="1" applyAlignment="1">
      <alignment horizontal="right"/>
    </xf>
    <xf numFmtId="164" fontId="12" fillId="0" borderId="4" xfId="0" applyNumberFormat="1" applyFont="1" applyFill="1" applyBorder="1" applyAlignment="1">
      <alignment horizontal="right"/>
    </xf>
    <xf numFmtId="8" fontId="12" fillId="0" borderId="4" xfId="0" applyNumberFormat="1" applyFont="1" applyFill="1" applyBorder="1" applyAlignment="1">
      <alignment horizontal="right"/>
    </xf>
    <xf numFmtId="0" fontId="12" fillId="0" borderId="3" xfId="0" applyNumberFormat="1" applyFont="1" applyFill="1" applyBorder="1"/>
    <xf numFmtId="0" fontId="12" fillId="0" borderId="4" xfId="0" applyNumberFormat="1" applyFont="1" applyFill="1" applyBorder="1"/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right" vertical="center"/>
    </xf>
    <xf numFmtId="0" fontId="9" fillId="4" borderId="2" xfId="0" applyNumberFormat="1" applyFont="1" applyFill="1" applyBorder="1"/>
    <xf numFmtId="164" fontId="9" fillId="4" borderId="3" xfId="0" applyNumberFormat="1" applyFont="1" applyFill="1" applyBorder="1" applyAlignment="1">
      <alignment horizontal="right"/>
    </xf>
    <xf numFmtId="164" fontId="9" fillId="4" borderId="4" xfId="0" applyNumberFormat="1" applyFont="1" applyFill="1" applyBorder="1" applyAlignment="1">
      <alignment horizontal="right"/>
    </xf>
    <xf numFmtId="0" fontId="11" fillId="2" borderId="2" xfId="0" applyNumberFormat="1" applyFont="1" applyFill="1" applyBorder="1"/>
    <xf numFmtId="164" fontId="11" fillId="2" borderId="3" xfId="0" applyNumberFormat="1" applyFont="1" applyFill="1" applyBorder="1" applyAlignment="1">
      <alignment horizontal="right"/>
    </xf>
    <xf numFmtId="164" fontId="11" fillId="2" borderId="4" xfId="0" applyNumberFormat="1" applyFont="1" applyFill="1" applyBorder="1" applyAlignment="1">
      <alignment horizontal="right"/>
    </xf>
    <xf numFmtId="0" fontId="3" fillId="3" borderId="2" xfId="0" applyNumberFormat="1" applyFont="1" applyFill="1" applyBorder="1" applyAlignment="1">
      <alignment horizontal="center"/>
    </xf>
    <xf numFmtId="0" fontId="3" fillId="3" borderId="3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0" fontId="9" fillId="5" borderId="1" xfId="1" applyFont="1" applyFill="1" applyAlignment="1">
      <alignment horizontal="center"/>
    </xf>
    <xf numFmtId="0" fontId="8" fillId="5" borderId="1" xfId="1" applyFont="1" applyFill="1" applyAlignment="1">
      <alignment horizontal="center"/>
    </xf>
    <xf numFmtId="0" fontId="7" fillId="5" borderId="1" xfId="1" applyFont="1" applyFill="1"/>
    <xf numFmtId="0" fontId="2" fillId="3" borderId="3" xfId="0" applyNumberFormat="1" applyFont="1" applyFill="1" applyBorder="1"/>
    <xf numFmtId="0" fontId="2" fillId="3" borderId="4" xfId="0" applyNumberFormat="1" applyFont="1" applyFill="1" applyBorder="1"/>
    <xf numFmtId="0" fontId="2" fillId="0" borderId="3" xfId="0" applyNumberFormat="1" applyFont="1" applyFill="1" applyBorder="1" applyAlignment="1"/>
    <xf numFmtId="0" fontId="2" fillId="0" borderId="3" xfId="0" applyNumberFormat="1" applyFont="1" applyFill="1" applyBorder="1"/>
    <xf numFmtId="0" fontId="2" fillId="0" borderId="4" xfId="0" applyNumberFormat="1" applyFont="1" applyFill="1" applyBorder="1"/>
    <xf numFmtId="165" fontId="2" fillId="0" borderId="3" xfId="0" applyNumberFormat="1" applyFont="1" applyFill="1" applyBorder="1" applyAlignment="1">
      <alignment horizontal="left"/>
    </xf>
    <xf numFmtId="8" fontId="2" fillId="0" borderId="3" xfId="0" applyNumberFormat="1" applyFont="1" applyFill="1" applyBorder="1" applyAlignment="1">
      <alignment horizontal="left"/>
    </xf>
    <xf numFmtId="0" fontId="13" fillId="0" borderId="1" xfId="1" applyFont="1"/>
    <xf numFmtId="0" fontId="14" fillId="0" borderId="1" xfId="1" applyFont="1"/>
    <xf numFmtId="0" fontId="10" fillId="3" borderId="1" xfId="1" applyFont="1" applyFill="1" applyAlignment="1"/>
    <xf numFmtId="0" fontId="14" fillId="0" borderId="0" xfId="0" applyFont="1"/>
    <xf numFmtId="0" fontId="10" fillId="3" borderId="2" xfId="1" applyFont="1" applyFill="1" applyBorder="1" applyAlignment="1"/>
    <xf numFmtId="0" fontId="10" fillId="3" borderId="4" xfId="1" applyFont="1" applyFill="1" applyBorder="1" applyAlignment="1"/>
    <xf numFmtId="0" fontId="14" fillId="0" borderId="2" xfId="0" applyFont="1" applyBorder="1" applyAlignment="1">
      <alignment vertical="center"/>
    </xf>
    <xf numFmtId="0" fontId="2" fillId="0" borderId="4" xfId="0" applyNumberFormat="1" applyFont="1" applyFill="1" applyBorder="1" applyAlignment="1">
      <alignment vertical="center" wrapText="1"/>
    </xf>
    <xf numFmtId="9" fontId="2" fillId="0" borderId="4" xfId="0" applyNumberFormat="1" applyFont="1" applyFill="1" applyBorder="1" applyAlignment="1">
      <alignment horizontal="left"/>
    </xf>
    <xf numFmtId="0" fontId="2" fillId="0" borderId="1" xfId="1" applyFont="1"/>
    <xf numFmtId="0" fontId="3" fillId="6" borderId="3" xfId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0" fontId="2" fillId="0" borderId="2" xfId="0" applyFont="1" applyBorder="1"/>
    <xf numFmtId="164" fontId="2" fillId="0" borderId="3" xfId="0" applyNumberFormat="1" applyFont="1" applyBorder="1"/>
    <xf numFmtId="10" fontId="2" fillId="0" borderId="3" xfId="0" applyNumberFormat="1" applyFont="1" applyBorder="1"/>
    <xf numFmtId="0" fontId="6" fillId="3" borderId="3" xfId="1" applyFont="1" applyFill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164" fontId="7" fillId="4" borderId="3" xfId="1" applyNumberFormat="1" applyFont="1" applyFill="1" applyBorder="1" applyAlignment="1">
      <alignment horizontal="center"/>
    </xf>
    <xf numFmtId="164" fontId="7" fillId="4" borderId="4" xfId="1" applyNumberFormat="1" applyFont="1" applyFill="1" applyBorder="1" applyAlignment="1">
      <alignment horizontal="center"/>
    </xf>
    <xf numFmtId="164" fontId="6" fillId="4" borderId="3" xfId="1" applyNumberFormat="1" applyFont="1" applyFill="1" applyBorder="1" applyAlignment="1">
      <alignment horizontal="center"/>
    </xf>
    <xf numFmtId="168" fontId="2" fillId="0" borderId="3" xfId="0" applyNumberFormat="1" applyFont="1" applyFill="1" applyBorder="1"/>
    <xf numFmtId="0" fontId="2" fillId="7" borderId="0" xfId="0" applyNumberFormat="1" applyFont="1" applyFill="1" applyBorder="1" applyAlignment="1">
      <alignment vertical="center" wrapText="1"/>
    </xf>
    <xf numFmtId="0" fontId="0" fillId="7" borderId="0" xfId="0" applyFill="1"/>
    <xf numFmtId="0" fontId="15" fillId="7" borderId="0" xfId="0" applyNumberFormat="1" applyFont="1" applyFill="1" applyBorder="1" applyAlignment="1">
      <alignment vertical="center" wrapText="1"/>
    </xf>
    <xf numFmtId="0" fontId="3" fillId="7" borderId="6" xfId="0" applyNumberFormat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/>
    </xf>
    <xf numFmtId="3" fontId="2" fillId="7" borderId="7" xfId="0" applyNumberFormat="1" applyFont="1" applyFill="1" applyBorder="1" applyAlignment="1">
      <alignment horizontal="center" vertical="center" wrapText="1"/>
    </xf>
    <xf numFmtId="3" fontId="2" fillId="7" borderId="8" xfId="0" applyNumberFormat="1" applyFont="1" applyFill="1" applyBorder="1" applyAlignment="1">
      <alignment horizontal="center" vertical="center" wrapText="1"/>
    </xf>
    <xf numFmtId="0" fontId="9" fillId="8" borderId="6" xfId="0" applyNumberFormat="1" applyFont="1" applyFill="1" applyBorder="1" applyAlignment="1">
      <alignment vertical="center" wrapText="1"/>
    </xf>
    <xf numFmtId="0" fontId="9" fillId="8" borderId="8" xfId="0" applyNumberFormat="1" applyFont="1" applyFill="1" applyBorder="1" applyAlignment="1">
      <alignment vertical="center"/>
    </xf>
    <xf numFmtId="0" fontId="9" fillId="8" borderId="7" xfId="0" applyNumberFormat="1" applyFont="1" applyFill="1" applyBorder="1" applyAlignment="1">
      <alignment horizontal="center" vertical="center" wrapText="1"/>
    </xf>
    <xf numFmtId="0" fontId="9" fillId="8" borderId="8" xfId="0" applyNumberFormat="1" applyFont="1" applyFill="1" applyBorder="1" applyAlignment="1">
      <alignment horizontal="center" vertical="center" wrapText="1"/>
    </xf>
    <xf numFmtId="169" fontId="2" fillId="7" borderId="7" xfId="0" applyNumberFormat="1" applyFont="1" applyFill="1" applyBorder="1" applyAlignment="1">
      <alignment horizontal="center" vertical="center" wrapText="1"/>
    </xf>
    <xf numFmtId="169" fontId="2" fillId="7" borderId="8" xfId="0" applyNumberFormat="1" applyFont="1" applyFill="1" applyBorder="1" applyAlignment="1">
      <alignment horizontal="center" vertical="center" wrapText="1"/>
    </xf>
    <xf numFmtId="169" fontId="3" fillId="7" borderId="7" xfId="0" applyNumberFormat="1" applyFont="1" applyFill="1" applyBorder="1" applyAlignment="1">
      <alignment horizontal="center" vertical="center" wrapText="1"/>
    </xf>
    <xf numFmtId="169" fontId="3" fillId="7" borderId="8" xfId="0" applyNumberFormat="1" applyFont="1" applyFill="1" applyBorder="1" applyAlignment="1">
      <alignment horizontal="center" vertical="center" wrapText="1"/>
    </xf>
    <xf numFmtId="0" fontId="9" fillId="8" borderId="6" xfId="0" applyNumberFormat="1" applyFont="1" applyFill="1" applyBorder="1" applyAlignment="1">
      <alignment horizontal="left" vertical="center" wrapText="1"/>
    </xf>
    <xf numFmtId="168" fontId="2" fillId="7" borderId="7" xfId="0" applyNumberFormat="1" applyFont="1" applyFill="1" applyBorder="1" applyAlignment="1">
      <alignment horizontal="center" vertical="center" wrapText="1"/>
    </xf>
    <xf numFmtId="168" fontId="2" fillId="7" borderId="8" xfId="0" applyNumberFormat="1" applyFont="1" applyFill="1" applyBorder="1" applyAlignment="1">
      <alignment horizontal="center" vertical="center" wrapText="1"/>
    </xf>
    <xf numFmtId="0" fontId="7" fillId="0" borderId="1" xfId="1" applyFont="1" applyAlignment="1"/>
    <xf numFmtId="0" fontId="0" fillId="7" borderId="0" xfId="0" applyFill="1" applyAlignment="1"/>
    <xf numFmtId="0" fontId="9" fillId="8" borderId="6" xfId="0" applyNumberFormat="1" applyFont="1" applyFill="1" applyBorder="1" applyAlignment="1">
      <alignment vertical="center"/>
    </xf>
    <xf numFmtId="0" fontId="9" fillId="8" borderId="7" xfId="0" applyNumberFormat="1" applyFont="1" applyFill="1" applyBorder="1" applyAlignment="1">
      <alignment vertical="center"/>
    </xf>
    <xf numFmtId="0" fontId="3" fillId="7" borderId="6" xfId="0" applyNumberFormat="1" applyFont="1" applyFill="1" applyBorder="1" applyAlignment="1">
      <alignment vertical="center"/>
    </xf>
    <xf numFmtId="0" fontId="2" fillId="7" borderId="8" xfId="0" applyNumberFormat="1" applyFont="1" applyFill="1" applyBorder="1" applyAlignment="1">
      <alignment vertical="center"/>
    </xf>
    <xf numFmtId="0" fontId="2" fillId="7" borderId="7" xfId="0" applyNumberFormat="1" applyFont="1" applyFill="1" applyBorder="1" applyAlignment="1">
      <alignment horizontal="center" vertical="center"/>
    </xf>
    <xf numFmtId="168" fontId="2" fillId="7" borderId="7" xfId="0" applyNumberFormat="1" applyFont="1" applyFill="1" applyBorder="1" applyAlignment="1">
      <alignment horizontal="center" vertical="center"/>
    </xf>
    <xf numFmtId="169" fontId="2" fillId="7" borderId="7" xfId="0" applyNumberFormat="1" applyFont="1" applyFill="1" applyBorder="1" applyAlignment="1">
      <alignment horizontal="center" vertical="center"/>
    </xf>
    <xf numFmtId="0" fontId="16" fillId="0" borderId="5" xfId="3" applyFont="1"/>
    <xf numFmtId="0" fontId="18" fillId="0" borderId="1" xfId="1" applyFont="1"/>
    <xf numFmtId="0" fontId="18" fillId="0" borderId="1" xfId="1" applyFont="1" applyAlignment="1"/>
    <xf numFmtId="17" fontId="17" fillId="10" borderId="11" xfId="3" applyNumberFormat="1" applyFont="1" applyFill="1" applyBorder="1" applyAlignment="1">
      <alignment horizontal="center" vertical="top"/>
    </xf>
    <xf numFmtId="17" fontId="17" fillId="10" borderId="12" xfId="3" applyNumberFormat="1" applyFont="1" applyFill="1" applyBorder="1" applyAlignment="1">
      <alignment horizontal="center" vertical="top"/>
    </xf>
    <xf numFmtId="0" fontId="18" fillId="0" borderId="1" xfId="1" applyFont="1" applyAlignment="1">
      <alignment horizontal="center"/>
    </xf>
    <xf numFmtId="0" fontId="21" fillId="0" borderId="1" xfId="1" applyFont="1" applyAlignment="1">
      <alignment horizontal="center"/>
    </xf>
    <xf numFmtId="169" fontId="16" fillId="0" borderId="11" xfId="0" applyNumberFormat="1" applyFont="1" applyFill="1" applyBorder="1" applyAlignment="1">
      <alignment horizontal="center"/>
    </xf>
    <xf numFmtId="169" fontId="16" fillId="0" borderId="12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9" fontId="16" fillId="9" borderId="9" xfId="0" applyNumberFormat="1" applyFont="1" applyFill="1" applyBorder="1" applyAlignment="1">
      <alignment horizontal="center"/>
    </xf>
    <xf numFmtId="169" fontId="16" fillId="0" borderId="11" xfId="0" applyNumberFormat="1" applyFont="1" applyFill="1" applyBorder="1" applyAlignment="1">
      <alignment horizontal="center" wrapText="1"/>
    </xf>
    <xf numFmtId="169" fontId="18" fillId="0" borderId="11" xfId="0" applyNumberFormat="1" applyFont="1" applyFill="1" applyBorder="1" applyAlignment="1">
      <alignment horizontal="center" wrapText="1"/>
    </xf>
    <xf numFmtId="169" fontId="18" fillId="0" borderId="12" xfId="0" applyNumberFormat="1" applyFont="1" applyFill="1" applyBorder="1" applyAlignment="1">
      <alignment horizontal="center" wrapText="1"/>
    </xf>
    <xf numFmtId="0" fontId="18" fillId="0" borderId="1" xfId="1" applyFont="1" applyAlignment="1">
      <alignment horizontal="left"/>
    </xf>
    <xf numFmtId="0" fontId="4" fillId="0" borderId="1" xfId="1" applyFont="1" applyAlignment="1">
      <alignment horizontal="left"/>
    </xf>
    <xf numFmtId="0" fontId="21" fillId="0" borderId="1" xfId="1" applyFont="1" applyAlignment="1">
      <alignment horizontal="left"/>
    </xf>
    <xf numFmtId="0" fontId="17" fillId="10" borderId="10" xfId="3" applyFont="1" applyFill="1" applyBorder="1" applyAlignment="1">
      <alignment horizontal="left" vertical="top"/>
    </xf>
    <xf numFmtId="0" fontId="16" fillId="0" borderId="10" xfId="3" applyFont="1" applyBorder="1" applyAlignment="1">
      <alignment horizontal="left"/>
    </xf>
    <xf numFmtId="0" fontId="16" fillId="0" borderId="5" xfId="3" applyFont="1" applyAlignment="1">
      <alignment horizontal="left"/>
    </xf>
    <xf numFmtId="0" fontId="16" fillId="9" borderId="9" xfId="3" applyFont="1" applyFill="1" applyBorder="1" applyAlignment="1">
      <alignment horizontal="left"/>
    </xf>
    <xf numFmtId="0" fontId="17" fillId="10" borderId="17" xfId="0" applyNumberFormat="1" applyFont="1" applyFill="1" applyBorder="1" applyAlignment="1">
      <alignment horizontal="left" vertical="top" wrapText="1"/>
    </xf>
    <xf numFmtId="0" fontId="16" fillId="0" borderId="10" xfId="0" applyNumberFormat="1" applyFont="1" applyFill="1" applyBorder="1" applyAlignment="1">
      <alignment horizontal="left" wrapText="1"/>
    </xf>
    <xf numFmtId="0" fontId="17" fillId="9" borderId="10" xfId="3" applyFont="1" applyFill="1" applyBorder="1" applyAlignment="1">
      <alignment horizontal="left"/>
    </xf>
    <xf numFmtId="0" fontId="17" fillId="9" borderId="10" xfId="0" applyNumberFormat="1" applyFont="1" applyFill="1" applyBorder="1" applyAlignment="1">
      <alignment horizontal="left" wrapText="1"/>
    </xf>
    <xf numFmtId="169" fontId="17" fillId="9" borderId="11" xfId="0" applyNumberFormat="1" applyFont="1" applyFill="1" applyBorder="1" applyAlignment="1">
      <alignment horizontal="center"/>
    </xf>
    <xf numFmtId="169" fontId="17" fillId="9" borderId="12" xfId="0" applyNumberFormat="1" applyFont="1" applyFill="1" applyBorder="1" applyAlignment="1">
      <alignment horizontal="center"/>
    </xf>
    <xf numFmtId="169" fontId="17" fillId="9" borderId="11" xfId="0" applyNumberFormat="1" applyFont="1" applyFill="1" applyBorder="1" applyAlignment="1">
      <alignment horizontal="center" wrapText="1"/>
    </xf>
    <xf numFmtId="169" fontId="19" fillId="9" borderId="11" xfId="0" applyNumberFormat="1" applyFont="1" applyFill="1" applyBorder="1" applyAlignment="1">
      <alignment horizontal="center" wrapText="1"/>
    </xf>
    <xf numFmtId="169" fontId="19" fillId="9" borderId="12" xfId="0" applyNumberFormat="1" applyFont="1" applyFill="1" applyBorder="1" applyAlignment="1">
      <alignment horizontal="center" wrapText="1"/>
    </xf>
    <xf numFmtId="0" fontId="21" fillId="5" borderId="3" xfId="0" applyNumberFormat="1" applyFont="1" applyFill="1" applyBorder="1" applyAlignment="1">
      <alignment horizontal="left"/>
    </xf>
    <xf numFmtId="0" fontId="20" fillId="3" borderId="3" xfId="0" applyNumberFormat="1" applyFont="1" applyFill="1" applyBorder="1" applyAlignment="1">
      <alignment horizontal="center"/>
    </xf>
    <xf numFmtId="0" fontId="21" fillId="0" borderId="2" xfId="0" applyNumberFormat="1" applyFont="1" applyFill="1" applyBorder="1"/>
    <xf numFmtId="0" fontId="21" fillId="0" borderId="3" xfId="0" applyNumberFormat="1" applyFont="1" applyFill="1" applyBorder="1" applyAlignment="1"/>
    <xf numFmtId="0" fontId="2" fillId="0" borderId="3" xfId="0" applyNumberFormat="1" applyFont="1" applyFill="1" applyBorder="1" applyAlignment="1">
      <alignment wrapText="1"/>
    </xf>
    <xf numFmtId="0" fontId="21" fillId="0" borderId="3" xfId="0" applyNumberFormat="1" applyFont="1" applyFill="1" applyBorder="1"/>
    <xf numFmtId="166" fontId="2" fillId="0" borderId="3" xfId="0" applyNumberFormat="1" applyFont="1" applyFill="1" applyBorder="1" applyAlignment="1">
      <alignment horizontal="center"/>
    </xf>
    <xf numFmtId="166" fontId="2" fillId="0" borderId="4" xfId="0" applyNumberFormat="1" applyFont="1" applyFill="1" applyBorder="1" applyAlignment="1">
      <alignment horizontal="center"/>
    </xf>
    <xf numFmtId="166" fontId="10" fillId="4" borderId="3" xfId="0" applyNumberFormat="1" applyFont="1" applyFill="1" applyBorder="1" applyAlignment="1">
      <alignment horizontal="center"/>
    </xf>
    <xf numFmtId="166" fontId="10" fillId="4" borderId="4" xfId="0" applyNumberFormat="1" applyFon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3" fillId="3" borderId="2" xfId="0" applyNumberFormat="1" applyFont="1" applyFill="1" applyBorder="1" applyAlignment="1">
      <alignment horizontal="left"/>
    </xf>
    <xf numFmtId="166" fontId="2" fillId="0" borderId="2" xfId="0" applyNumberFormat="1" applyFont="1" applyFill="1" applyBorder="1" applyAlignment="1">
      <alignment horizontal="left"/>
    </xf>
    <xf numFmtId="166" fontId="10" fillId="4" borderId="2" xfId="0" applyNumberFormat="1" applyFont="1" applyFill="1" applyBorder="1" applyAlignment="1">
      <alignment horizontal="left"/>
    </xf>
    <xf numFmtId="166" fontId="3" fillId="4" borderId="2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3" borderId="1" xfId="1" applyFont="1" applyFill="1" applyAlignment="1">
      <alignment horizontal="center"/>
    </xf>
    <xf numFmtId="0" fontId="8" fillId="3" borderId="1" xfId="1" applyFont="1" applyFill="1" applyAlignment="1">
      <alignment horizontal="center"/>
    </xf>
    <xf numFmtId="0" fontId="17" fillId="3" borderId="1" xfId="1" applyFont="1" applyFill="1" applyAlignment="1">
      <alignment horizontal="center"/>
    </xf>
    <xf numFmtId="0" fontId="17" fillId="0" borderId="13" xfId="0" applyNumberFormat="1" applyFont="1" applyFill="1" applyBorder="1" applyAlignment="1">
      <alignment horizontal="center" wrapText="1"/>
    </xf>
    <xf numFmtId="0" fontId="17" fillId="0" borderId="14" xfId="0" applyNumberFormat="1" applyFont="1" applyFill="1" applyBorder="1" applyAlignment="1">
      <alignment horizontal="center" wrapText="1"/>
    </xf>
    <xf numFmtId="0" fontId="17" fillId="0" borderId="15" xfId="0" applyNumberFormat="1" applyFont="1" applyFill="1" applyBorder="1" applyAlignment="1">
      <alignment horizontal="center" wrapText="1"/>
    </xf>
    <xf numFmtId="0" fontId="17" fillId="0" borderId="16" xfId="3" applyFont="1" applyBorder="1" applyAlignment="1">
      <alignment horizontal="center"/>
    </xf>
    <xf numFmtId="0" fontId="17" fillId="0" borderId="16" xfId="3" applyFont="1" applyBorder="1"/>
    <xf numFmtId="49" fontId="17" fillId="10" borderId="11" xfId="3" applyNumberFormat="1" applyFont="1" applyFill="1" applyBorder="1" applyAlignment="1">
      <alignment horizontal="center" vertical="top"/>
    </xf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F4A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38100</xdr:rowOff>
    </xdr:to>
    <xdr:pic>
      <xdr:nvPicPr>
        <xdr:cNvPr id="8193" name="/xl/media/image1.jpg">
          <a:extLst>
            <a:ext uri="{FF2B5EF4-FFF2-40B4-BE49-F238E27FC236}">
              <a16:creationId xmlns:a16="http://schemas.microsoft.com/office/drawing/2014/main" id="{B99ED249-0DDC-47C2-9D87-ABE377AC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38100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0B1F9BEF-239E-4E10-AA0F-E9E0F68C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1066800</xdr:colOff>
      <xdr:row>4</xdr:row>
      <xdr:rowOff>39235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ADB1CE22-296C-4D88-AC2C-805C3ADC1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80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showGridLines="0" tabSelected="1" workbookViewId="0"/>
  </sheetViews>
  <sheetFormatPr defaultRowHeight="15"/>
  <cols>
    <col min="1" max="1" width="60.875" style="72" customWidth="1"/>
    <col min="2" max="2" width="65.125" style="72" bestFit="1" customWidth="1"/>
    <col min="3" max="3" width="14" style="72" customWidth="1"/>
    <col min="4" max="4" width="16" style="72" customWidth="1"/>
    <col min="5" max="5" width="13" style="72" customWidth="1"/>
    <col min="6" max="6" width="18" style="72" customWidth="1"/>
    <col min="7" max="7" width="21" style="72" customWidth="1"/>
    <col min="8" max="9" width="12" style="72" customWidth="1"/>
    <col min="10" max="16384" width="9" style="72"/>
  </cols>
  <sheetData>
    <row r="1" spans="1:26" s="70" customFormat="1">
      <c r="A1" s="69" t="s">
        <v>0</v>
      </c>
    </row>
    <row r="2" spans="1:26" s="70" customFormat="1"/>
    <row r="3" spans="1:26" s="70" customFormat="1"/>
    <row r="4" spans="1:26" s="70" customFormat="1"/>
    <row r="5" spans="1:26" s="70" customFormat="1">
      <c r="A5" s="69" t="s">
        <v>1</v>
      </c>
    </row>
    <row r="6" spans="1:26" s="70" customFormat="1"/>
    <row r="7" spans="1:26" s="1" customFormat="1">
      <c r="A7" s="71" t="s">
        <v>2</v>
      </c>
      <c r="B7" s="71"/>
    </row>
    <row r="8" spans="1:26" s="70" customFormat="1"/>
    <row r="9" spans="1:26" s="1" customFormat="1">
      <c r="A9" s="73" t="s">
        <v>2</v>
      </c>
      <c r="B9" s="74" t="s">
        <v>3</v>
      </c>
    </row>
    <row r="10" spans="1:26">
      <c r="A10" s="75" t="s">
        <v>4</v>
      </c>
      <c r="B10" s="66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5" t="s">
        <v>6</v>
      </c>
      <c r="B11" s="66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5" t="s">
        <v>8</v>
      </c>
      <c r="B12" s="66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>
      <c r="A13" s="75" t="s">
        <v>10</v>
      </c>
      <c r="B13" s="76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5" t="s">
        <v>12</v>
      </c>
      <c r="B14" s="66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5" t="s">
        <v>14</v>
      </c>
      <c r="B15" s="77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4"/>
  <sheetViews>
    <sheetView showGridLines="0" workbookViewId="0"/>
  </sheetViews>
  <sheetFormatPr defaultRowHeight="14.25"/>
  <cols>
    <col min="1" max="1" width="29.5" style="169" customWidth="1"/>
    <col min="2" max="2" width="32.375" customWidth="1"/>
    <col min="3" max="3" width="14" customWidth="1"/>
    <col min="4" max="4" width="16" customWidth="1"/>
    <col min="5" max="5" width="13" customWidth="1"/>
    <col min="6" max="6" width="18" customWidth="1"/>
    <col min="7" max="7" width="21" customWidth="1"/>
    <col min="8" max="9" width="12" customWidth="1"/>
  </cols>
  <sheetData>
    <row r="1" spans="1:26" s="5" customFormat="1" ht="15">
      <c r="A1" s="4" t="s">
        <v>0</v>
      </c>
    </row>
    <row r="2" spans="1:26" s="5" customFormat="1" ht="15">
      <c r="A2" s="15"/>
    </row>
    <row r="3" spans="1:26" s="5" customFormat="1" ht="15"/>
    <row r="4" spans="1:26" s="5" customFormat="1" ht="15"/>
    <row r="5" spans="1:26" s="5" customFormat="1" ht="15">
      <c r="A5" s="4" t="s">
        <v>1</v>
      </c>
    </row>
    <row r="6" spans="1:26" s="5" customFormat="1" ht="15"/>
    <row r="7" spans="1:26" s="5" customFormat="1" ht="15">
      <c r="A7" s="170" t="s">
        <v>16</v>
      </c>
      <c r="B7" s="170"/>
      <c r="C7" s="170"/>
      <c r="D7" s="170"/>
      <c r="E7" s="170"/>
      <c r="F7" s="170"/>
      <c r="G7" s="170"/>
    </row>
    <row r="8" spans="1:26" s="5" customFormat="1" ht="15"/>
    <row r="9" spans="1:26" ht="15">
      <c r="A9" s="16" t="s">
        <v>17</v>
      </c>
      <c r="B9" s="17" t="s">
        <v>18</v>
      </c>
      <c r="C9" s="17" t="s">
        <v>19</v>
      </c>
      <c r="D9" s="62"/>
      <c r="E9" s="62"/>
      <c r="F9" s="62"/>
      <c r="G9" s="6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25" t="s">
        <v>20</v>
      </c>
      <c r="B10" s="67">
        <v>0.15390000000000001</v>
      </c>
      <c r="C10" s="64" t="s">
        <v>21</v>
      </c>
      <c r="D10" s="65"/>
      <c r="E10" s="65"/>
      <c r="F10" s="65"/>
      <c r="G10" s="6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25" t="s">
        <v>22</v>
      </c>
      <c r="B11" s="67">
        <v>0.03</v>
      </c>
      <c r="C11" s="65" t="s">
        <v>23</v>
      </c>
      <c r="D11" s="65"/>
      <c r="E11" s="65"/>
      <c r="F11" s="65"/>
      <c r="G11" s="6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25" t="s">
        <v>24</v>
      </c>
      <c r="B12" s="67">
        <v>0.7</v>
      </c>
      <c r="C12" s="65" t="s">
        <v>25</v>
      </c>
      <c r="D12" s="65"/>
      <c r="E12" s="65"/>
      <c r="F12" s="65"/>
      <c r="G12" s="6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25" t="s">
        <v>26</v>
      </c>
      <c r="B13" s="68">
        <v>792707.31707317103</v>
      </c>
      <c r="C13" s="65" t="s">
        <v>27</v>
      </c>
      <c r="D13" s="65"/>
      <c r="E13" s="65"/>
      <c r="F13" s="65"/>
      <c r="G13" s="6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25" t="s">
        <v>28</v>
      </c>
      <c r="B14" s="65" t="s">
        <v>29</v>
      </c>
      <c r="C14" s="65" t="s">
        <v>30</v>
      </c>
      <c r="D14" s="65"/>
      <c r="E14" s="65"/>
      <c r="F14" s="65"/>
      <c r="G14" s="6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51" t="s">
        <v>31</v>
      </c>
      <c r="B15" s="154" t="s">
        <v>278</v>
      </c>
      <c r="C15" s="152" t="s">
        <v>277</v>
      </c>
      <c r="D15" s="65"/>
      <c r="E15" s="153"/>
      <c r="F15" s="65"/>
      <c r="G15" s="6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25"/>
      <c r="B16" s="65"/>
      <c r="C16" s="65"/>
      <c r="D16" s="65"/>
      <c r="E16" s="65"/>
      <c r="F16" s="65"/>
      <c r="G16" s="6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56" t="s">
        <v>31</v>
      </c>
      <c r="B17" s="150" t="s">
        <v>276</v>
      </c>
      <c r="C17" s="57" t="s">
        <v>32</v>
      </c>
      <c r="D17" s="57" t="s">
        <v>33</v>
      </c>
      <c r="E17" s="57" t="s">
        <v>34</v>
      </c>
      <c r="F17" s="57" t="s">
        <v>35</v>
      </c>
      <c r="G17" s="58" t="s">
        <v>36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9" t="s">
        <v>37</v>
      </c>
      <c r="B18" s="149" t="s">
        <v>275</v>
      </c>
      <c r="C18" s="20">
        <v>0.45</v>
      </c>
      <c r="D18" s="21">
        <f>SUM(B33:G33)</f>
        <v>6220.0804644595191</v>
      </c>
      <c r="E18" s="20">
        <f>IRR(B30:G30)</f>
        <v>0.57784112236138463</v>
      </c>
      <c r="F18" s="22">
        <f>3+ABS(SUM(B30:E30))/F30</f>
        <v>3.1106592475555086</v>
      </c>
      <c r="G18" s="23">
        <f>4+ABS(F34)/G33</f>
        <v>4.0068563317611128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9" t="s">
        <v>37</v>
      </c>
      <c r="B19" s="149" t="s">
        <v>274</v>
      </c>
      <c r="C19" s="20">
        <v>0.45</v>
      </c>
      <c r="D19" s="21">
        <f>SUM(B35:G35)</f>
        <v>2861.4203304875396</v>
      </c>
      <c r="E19" s="20">
        <f>IRR(B32:G32)</f>
        <v>0.42324876390685895</v>
      </c>
      <c r="F19" s="22">
        <f>3+ABS(SUM(B32:E32))/F32</f>
        <v>3.1106592475555086</v>
      </c>
      <c r="G19" s="23">
        <f>4+ABS(F36)/G35</f>
        <v>4.0147851266708647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9" t="s">
        <v>38</v>
      </c>
      <c r="B20" s="149" t="s">
        <v>275</v>
      </c>
      <c r="C20" s="20">
        <v>0.35</v>
      </c>
      <c r="D20" s="21">
        <f>SUM(B46:G46)</f>
        <v>7930.9882071670136</v>
      </c>
      <c r="E20" s="20">
        <f>IRR(B43:G43)</f>
        <v>0.62693449252863287</v>
      </c>
      <c r="F20" s="22">
        <f>2+ABS(SUM(B43:D43))/E43</f>
        <v>2.7735535478706224</v>
      </c>
      <c r="G20" s="23">
        <f>3+ABS(E47)/F46</f>
        <v>3.6063808151516543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9" t="s">
        <v>38</v>
      </c>
      <c r="B21" s="149" t="s">
        <v>274</v>
      </c>
      <c r="C21" s="20">
        <v>0.35</v>
      </c>
      <c r="D21" s="21">
        <f>SUM(B48:G48)</f>
        <v>3249.3812449039988</v>
      </c>
      <c r="E21" s="20">
        <f>IRR(B45:G45)</f>
        <v>0.44310933233816008</v>
      </c>
      <c r="F21" s="22">
        <f>2+ABS(SUM(B45:D45))/E45</f>
        <v>2.7735535478706224</v>
      </c>
      <c r="G21" s="23">
        <f>3+ABS(E49)/F48</f>
        <v>3.6063808151516543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9" t="s">
        <v>39</v>
      </c>
      <c r="B22" s="149" t="s">
        <v>275</v>
      </c>
      <c r="C22" s="20">
        <v>0.54</v>
      </c>
      <c r="D22" s="21">
        <f>SUM(B59:G59)</f>
        <v>4685.7595479176252</v>
      </c>
      <c r="E22" s="20">
        <f>IRR(B56:G56)</f>
        <v>0.51710967781194528</v>
      </c>
      <c r="F22" s="22">
        <f>3+ABS(SUM(B56:E56))/F56</f>
        <v>3.5813804109325931</v>
      </c>
      <c r="G22" s="23">
        <f>4+ABS(F60)/G59</f>
        <v>4.0841533843786673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9" t="s">
        <v>39</v>
      </c>
      <c r="B23" s="149" t="s">
        <v>274</v>
      </c>
      <c r="C23" s="20">
        <v>0.54</v>
      </c>
      <c r="D23" s="21">
        <f>SUM(B61:G61)</f>
        <v>2306.6886856284273</v>
      </c>
      <c r="E23" s="20">
        <f>IRR(B58:G58)</f>
        <v>0.3863950287603175</v>
      </c>
      <c r="F23" s="22">
        <f>3+ABS(SUM(B58:E58))/F58</f>
        <v>3.5813804109325931</v>
      </c>
      <c r="G23" s="23">
        <f>4+ABS(F62)/G61</f>
        <v>4.1572951550710746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25"/>
      <c r="B24" s="65"/>
      <c r="C24" s="65"/>
      <c r="D24" s="65"/>
      <c r="E24" s="65"/>
      <c r="F24" s="65"/>
      <c r="G24" s="6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25"/>
      <c r="B25" s="65"/>
      <c r="C25" s="65"/>
      <c r="D25" s="65"/>
      <c r="E25" s="65"/>
      <c r="F25" s="65"/>
      <c r="G25" s="6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63" t="s">
        <v>40</v>
      </c>
      <c r="B26" s="17"/>
      <c r="C26" s="17"/>
      <c r="D26" s="17"/>
      <c r="E26" s="17"/>
      <c r="F26" s="17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63" t="s">
        <v>41</v>
      </c>
      <c r="B27" s="57" t="s">
        <v>42</v>
      </c>
      <c r="C27" s="57" t="s">
        <v>43</v>
      </c>
      <c r="D27" s="57" t="s">
        <v>44</v>
      </c>
      <c r="E27" s="57" t="s">
        <v>45</v>
      </c>
      <c r="F27" s="57" t="s">
        <v>46</v>
      </c>
      <c r="G27" s="58" t="s">
        <v>47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64" t="s">
        <v>48</v>
      </c>
      <c r="B28" s="155">
        <v>-2275.8855614551931</v>
      </c>
      <c r="C28" s="155">
        <v>312.83086200440499</v>
      </c>
      <c r="D28" s="155">
        <v>688.43645031769404</v>
      </c>
      <c r="E28" s="155">
        <v>1136.2643612493541</v>
      </c>
      <c r="F28" s="155">
        <v>1250.2695521613728</v>
      </c>
      <c r="G28" s="156">
        <v>1375.7132638948974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64" t="s">
        <v>49</v>
      </c>
      <c r="B29" s="155">
        <v>0</v>
      </c>
      <c r="C29" s="155">
        <v>0</v>
      </c>
      <c r="D29" s="155">
        <v>0</v>
      </c>
      <c r="E29" s="155">
        <v>0</v>
      </c>
      <c r="F29" s="155">
        <v>0</v>
      </c>
      <c r="G29" s="156">
        <v>11436.518658690431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65" t="s">
        <v>50</v>
      </c>
      <c r="B30" s="157">
        <f>B28</f>
        <v>-2275.8855614551931</v>
      </c>
      <c r="C30" s="157">
        <f t="shared" ref="C30:G30" si="0">C28+C29</f>
        <v>312.83086200440499</v>
      </c>
      <c r="D30" s="157">
        <f t="shared" si="0"/>
        <v>688.43645031769404</v>
      </c>
      <c r="E30" s="157">
        <f t="shared" si="0"/>
        <v>1136.2643612493541</v>
      </c>
      <c r="F30" s="157">
        <f t="shared" si="0"/>
        <v>1250.2695521613728</v>
      </c>
      <c r="G30" s="158">
        <f t="shared" si="0"/>
        <v>12812.231922585328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64" t="s">
        <v>51</v>
      </c>
      <c r="B31" s="155">
        <v>0</v>
      </c>
      <c r="C31" s="155">
        <v>0</v>
      </c>
      <c r="D31" s="155">
        <v>0</v>
      </c>
      <c r="E31" s="155">
        <v>0</v>
      </c>
      <c r="F31" s="155">
        <v>0</v>
      </c>
      <c r="G31" s="156">
        <v>4565.7246836521354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65" t="s">
        <v>52</v>
      </c>
      <c r="B32" s="157">
        <f>B28</f>
        <v>-2275.8855614551931</v>
      </c>
      <c r="C32" s="157">
        <f t="shared" ref="C32:G32" si="1">C28+C31</f>
        <v>312.83086200440499</v>
      </c>
      <c r="D32" s="157">
        <f t="shared" si="1"/>
        <v>688.43645031769404</v>
      </c>
      <c r="E32" s="157">
        <f t="shared" si="1"/>
        <v>1136.2643612493541</v>
      </c>
      <c r="F32" s="157">
        <f t="shared" si="1"/>
        <v>1250.2695521613728</v>
      </c>
      <c r="G32" s="158">
        <f t="shared" si="1"/>
        <v>5941.4379475470323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64" t="s">
        <v>53</v>
      </c>
      <c r="B33" s="155">
        <f>B28</f>
        <v>-2275.8855614551931</v>
      </c>
      <c r="C33" s="155">
        <f>C30/(1+$B$10)^1</f>
        <v>271.10742872381059</v>
      </c>
      <c r="D33" s="155">
        <f>D30/(1+$B$10)^2</f>
        <v>517.04400856070652</v>
      </c>
      <c r="E33" s="155">
        <f>E30/(1+$B$10)^3</f>
        <v>739.56247173017266</v>
      </c>
      <c r="F33" s="155">
        <f>F30/(1+$B$10)^4</f>
        <v>705.23029701629264</v>
      </c>
      <c r="G33" s="156">
        <f>G30/(1+$B$10)^5</f>
        <v>6263.0218198837301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66" t="s">
        <v>54</v>
      </c>
      <c r="B34" s="159">
        <f>B28</f>
        <v>-2275.8855614551931</v>
      </c>
      <c r="C34" s="159">
        <f>B34+C33</f>
        <v>-2004.7781327313824</v>
      </c>
      <c r="D34" s="159">
        <f>C34+D33</f>
        <v>-1487.7341241706758</v>
      </c>
      <c r="E34" s="159">
        <f>D34+E33</f>
        <v>-748.17165244050318</v>
      </c>
      <c r="F34" s="159">
        <f>E34+F33</f>
        <v>-42.941355424210542</v>
      </c>
      <c r="G34" s="160">
        <f>F34+G33</f>
        <v>6220.0804644595191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64" t="s">
        <v>55</v>
      </c>
      <c r="B35" s="155">
        <f>B28</f>
        <v>-2275.8855614551931</v>
      </c>
      <c r="C35" s="155">
        <f>C32/(1+$B$10)^1</f>
        <v>271.10742872381059</v>
      </c>
      <c r="D35" s="155">
        <f>D32/(1+$B$10)^2</f>
        <v>517.04400856070652</v>
      </c>
      <c r="E35" s="155">
        <f>E32/(1+$B$10)^3</f>
        <v>739.56247173017266</v>
      </c>
      <c r="F35" s="155">
        <f>F32/(1+$B$10)^4</f>
        <v>705.23029701629264</v>
      </c>
      <c r="G35" s="156">
        <f>G32/(1+$B$10)^5</f>
        <v>2904.3616859117501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66" t="s">
        <v>56</v>
      </c>
      <c r="B36" s="159">
        <f>B28</f>
        <v>-2275.8855614551931</v>
      </c>
      <c r="C36" s="159">
        <f>B36+C35</f>
        <v>-2004.7781327313824</v>
      </c>
      <c r="D36" s="159">
        <f>C36+D35</f>
        <v>-1487.7341241706758</v>
      </c>
      <c r="E36" s="159">
        <f>D36+E35</f>
        <v>-748.17165244050318</v>
      </c>
      <c r="F36" s="159">
        <f>E36+F35</f>
        <v>-42.941355424210542</v>
      </c>
      <c r="G36" s="160">
        <f>F36+G35</f>
        <v>2861.4203304875396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67"/>
      <c r="B37" s="161"/>
      <c r="C37" s="161"/>
      <c r="D37" s="161"/>
      <c r="E37" s="161"/>
      <c r="F37" s="161"/>
      <c r="G37" s="16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67"/>
      <c r="B38" s="161"/>
      <c r="C38" s="161"/>
      <c r="D38" s="161"/>
      <c r="E38" s="161"/>
      <c r="F38" s="161"/>
      <c r="G38" s="16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63" t="s">
        <v>57</v>
      </c>
      <c r="B39" s="57"/>
      <c r="C39" s="57"/>
      <c r="D39" s="57"/>
      <c r="E39" s="57"/>
      <c r="F39" s="57"/>
      <c r="G39" s="5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63" t="s">
        <v>41</v>
      </c>
      <c r="B40" s="57" t="s">
        <v>42</v>
      </c>
      <c r="C40" s="57" t="s">
        <v>43</v>
      </c>
      <c r="D40" s="57" t="s">
        <v>44</v>
      </c>
      <c r="E40" s="57" t="s">
        <v>45</v>
      </c>
      <c r="F40" s="57" t="s">
        <v>46</v>
      </c>
      <c r="G40" s="58" t="s">
        <v>47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64" t="s">
        <v>48</v>
      </c>
      <c r="B41" s="155">
        <v>-2591.6716784949213</v>
      </c>
      <c r="C41" s="155">
        <v>487.84659047207879</v>
      </c>
      <c r="D41" s="155">
        <v>1116.1433164353753</v>
      </c>
      <c r="E41" s="155">
        <v>1276.8111196778555</v>
      </c>
      <c r="F41" s="155">
        <v>1460.6069053385856</v>
      </c>
      <c r="G41" s="156">
        <v>1670.859925202577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64" t="s">
        <v>49</v>
      </c>
      <c r="B42" s="155">
        <v>0</v>
      </c>
      <c r="C42" s="155">
        <v>0</v>
      </c>
      <c r="D42" s="155">
        <v>0</v>
      </c>
      <c r="E42" s="155">
        <v>0</v>
      </c>
      <c r="F42" s="155">
        <v>0</v>
      </c>
      <c r="G42" s="156">
        <v>13890.11882936767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65" t="s">
        <v>50</v>
      </c>
      <c r="B43" s="157">
        <f>B41</f>
        <v>-2591.6716784949213</v>
      </c>
      <c r="C43" s="157">
        <f t="shared" ref="C43:G43" si="2">C41+C42</f>
        <v>487.84659047207879</v>
      </c>
      <c r="D43" s="157">
        <f t="shared" si="2"/>
        <v>1116.1433164353753</v>
      </c>
      <c r="E43" s="157">
        <f t="shared" si="2"/>
        <v>1276.8111196778555</v>
      </c>
      <c r="F43" s="157">
        <f t="shared" si="2"/>
        <v>1460.6069053385856</v>
      </c>
      <c r="G43" s="158">
        <f t="shared" si="2"/>
        <v>15560.978754570246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64" t="s">
        <v>51</v>
      </c>
      <c r="B44" s="155">
        <v>0</v>
      </c>
      <c r="C44" s="155">
        <v>0</v>
      </c>
      <c r="D44" s="155">
        <v>0</v>
      </c>
      <c r="E44" s="155">
        <v>0</v>
      </c>
      <c r="F44" s="155">
        <v>0</v>
      </c>
      <c r="G44" s="156">
        <v>4312.9792478840682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65" t="s">
        <v>52</v>
      </c>
      <c r="B45" s="157">
        <f>B41</f>
        <v>-2591.6716784949213</v>
      </c>
      <c r="C45" s="157">
        <f t="shared" ref="C45:G45" si="3">C41+C44</f>
        <v>487.84659047207879</v>
      </c>
      <c r="D45" s="157">
        <f t="shared" si="3"/>
        <v>1116.1433164353753</v>
      </c>
      <c r="E45" s="157">
        <f t="shared" si="3"/>
        <v>1276.8111196778555</v>
      </c>
      <c r="F45" s="157">
        <f t="shared" si="3"/>
        <v>1460.6069053385856</v>
      </c>
      <c r="G45" s="158">
        <f t="shared" si="3"/>
        <v>5983.8391730866451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64" t="s">
        <v>53</v>
      </c>
      <c r="B46" s="155">
        <f>B41</f>
        <v>-2591.6716784949213</v>
      </c>
      <c r="C46" s="155">
        <f>C43/(1+$B$10)^1</f>
        <v>422.78064864553153</v>
      </c>
      <c r="D46" s="155">
        <f>D43/(1+$B$10)^2</f>
        <v>838.26940626353291</v>
      </c>
      <c r="E46" s="155">
        <f>E43/(1+$B$10)^3</f>
        <v>831.04039852421351</v>
      </c>
      <c r="F46" s="155">
        <f>F43/(1+$B$10)^4</f>
        <v>823.87373178470239</v>
      </c>
      <c r="G46" s="156">
        <f>G43/(1+$B$10)^5</f>
        <v>7606.6957004439546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66" t="s">
        <v>54</v>
      </c>
      <c r="B47" s="159">
        <f>B41</f>
        <v>-2591.6716784949213</v>
      </c>
      <c r="C47" s="159">
        <f>B47+C46</f>
        <v>-2168.8910298493897</v>
      </c>
      <c r="D47" s="159">
        <f>C47+D46</f>
        <v>-1330.6216235858569</v>
      </c>
      <c r="E47" s="159">
        <f>D47+E46</f>
        <v>-499.58122506164341</v>
      </c>
      <c r="F47" s="159">
        <f>E47+F46</f>
        <v>324.29250672305898</v>
      </c>
      <c r="G47" s="160">
        <f>F47+G46</f>
        <v>7930.9882071670136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64" t="s">
        <v>55</v>
      </c>
      <c r="B48" s="155">
        <f>B41</f>
        <v>-2591.6716784949213</v>
      </c>
      <c r="C48" s="155">
        <f>C45/(1+$B$10)^1</f>
        <v>422.78064864553153</v>
      </c>
      <c r="D48" s="155">
        <f>D45/(1+$B$10)^2</f>
        <v>838.26940626353291</v>
      </c>
      <c r="E48" s="155">
        <f>E45/(1+$B$10)^3</f>
        <v>831.04039852421351</v>
      </c>
      <c r="F48" s="155">
        <f>F45/(1+$B$10)^4</f>
        <v>823.87373178470239</v>
      </c>
      <c r="G48" s="156">
        <f>G45/(1+$B$10)^5</f>
        <v>2925.0887381809398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66" t="s">
        <v>56</v>
      </c>
      <c r="B49" s="159">
        <f>B41</f>
        <v>-2591.6716784949213</v>
      </c>
      <c r="C49" s="159">
        <f>B49+C48</f>
        <v>-2168.8910298493897</v>
      </c>
      <c r="D49" s="159">
        <f>C49+D48</f>
        <v>-1330.6216235858569</v>
      </c>
      <c r="E49" s="159">
        <f>D49+E48</f>
        <v>-499.58122506164341</v>
      </c>
      <c r="F49" s="159">
        <f>E49+F48</f>
        <v>324.29250672305898</v>
      </c>
      <c r="G49" s="160">
        <f>F49+G48</f>
        <v>3249.3812449039988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67"/>
      <c r="B50" s="161"/>
      <c r="C50" s="161"/>
      <c r="D50" s="161"/>
      <c r="E50" s="161"/>
      <c r="F50" s="161"/>
      <c r="G50" s="1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67"/>
      <c r="B51" s="161"/>
      <c r="C51" s="161"/>
      <c r="D51" s="161"/>
      <c r="E51" s="161"/>
      <c r="F51" s="161"/>
      <c r="G51" s="1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63" t="s">
        <v>58</v>
      </c>
      <c r="B52" s="57"/>
      <c r="C52" s="57"/>
      <c r="D52" s="57"/>
      <c r="E52" s="57"/>
      <c r="F52" s="57"/>
      <c r="G52" s="5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63" t="s">
        <v>41</v>
      </c>
      <c r="B53" s="57" t="s">
        <v>42</v>
      </c>
      <c r="C53" s="57" t="s">
        <v>43</v>
      </c>
      <c r="D53" s="57" t="s">
        <v>44</v>
      </c>
      <c r="E53" s="57" t="s">
        <v>45</v>
      </c>
      <c r="F53" s="57" t="s">
        <v>46</v>
      </c>
      <c r="G53" s="58" t="s">
        <v>47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64" t="s">
        <v>48</v>
      </c>
      <c r="B54" s="155">
        <v>-2074.6556495783179</v>
      </c>
      <c r="C54" s="155">
        <v>225.32299777056815</v>
      </c>
      <c r="D54" s="155">
        <v>476.20554897299365</v>
      </c>
      <c r="E54" s="155">
        <v>754.82216789820518</v>
      </c>
      <c r="F54" s="155">
        <v>1063.5118131082656</v>
      </c>
      <c r="G54" s="156">
        <v>1123.8316368313435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64" t="s">
        <v>49</v>
      </c>
      <c r="B55" s="155">
        <v>0</v>
      </c>
      <c r="C55" s="155">
        <v>0</v>
      </c>
      <c r="D55" s="155">
        <v>0</v>
      </c>
      <c r="E55" s="155">
        <v>0</v>
      </c>
      <c r="F55" s="155">
        <v>0</v>
      </c>
      <c r="G55" s="156">
        <v>9342.5874571128643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65" t="s">
        <v>50</v>
      </c>
      <c r="B56" s="157">
        <f>B54</f>
        <v>-2074.6556495783179</v>
      </c>
      <c r="C56" s="157">
        <f t="shared" ref="C56:G56" si="4">C54+C55</f>
        <v>225.32299777056815</v>
      </c>
      <c r="D56" s="157">
        <f t="shared" si="4"/>
        <v>476.20554897299365</v>
      </c>
      <c r="E56" s="157">
        <f t="shared" si="4"/>
        <v>754.82216789820518</v>
      </c>
      <c r="F56" s="157">
        <f t="shared" si="4"/>
        <v>1063.5118131082656</v>
      </c>
      <c r="G56" s="158">
        <f t="shared" si="4"/>
        <v>10466.419093944209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64" t="s">
        <v>51</v>
      </c>
      <c r="B57" s="155">
        <v>0</v>
      </c>
      <c r="C57" s="155">
        <v>0</v>
      </c>
      <c r="D57" s="155">
        <v>0</v>
      </c>
      <c r="E57" s="155">
        <v>0</v>
      </c>
      <c r="F57" s="155">
        <v>0</v>
      </c>
      <c r="G57" s="156">
        <v>4475.7342791240753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65" t="s">
        <v>52</v>
      </c>
      <c r="B58" s="157">
        <f>B54</f>
        <v>-2074.6556495783179</v>
      </c>
      <c r="C58" s="157">
        <f t="shared" ref="C58:G58" si="5">C54+C57</f>
        <v>225.32299777056815</v>
      </c>
      <c r="D58" s="157">
        <f t="shared" si="5"/>
        <v>476.20554897299365</v>
      </c>
      <c r="E58" s="157">
        <f t="shared" si="5"/>
        <v>754.82216789820518</v>
      </c>
      <c r="F58" s="157">
        <f t="shared" si="5"/>
        <v>1063.5118131082656</v>
      </c>
      <c r="G58" s="158">
        <f t="shared" si="5"/>
        <v>5599.5659159554189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64" t="s">
        <v>53</v>
      </c>
      <c r="B59" s="155">
        <f>B54</f>
        <v>-2074.6556495783179</v>
      </c>
      <c r="C59" s="155">
        <f>C56/(1+$B$10)^1</f>
        <v>195.27081876295014</v>
      </c>
      <c r="D59" s="155">
        <f>D56/(1+$B$10)^2</f>
        <v>357.64989757039336</v>
      </c>
      <c r="E59" s="155">
        <f>E56/(1+$B$10)^3</f>
        <v>491.29249076660801</v>
      </c>
      <c r="F59" s="155">
        <f>F56/(1+$B$10)^4</f>
        <v>599.88724074908339</v>
      </c>
      <c r="G59" s="156">
        <f>G56/(1+$B$10)^5</f>
        <v>5116.3147496469082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66" t="s">
        <v>54</v>
      </c>
      <c r="B60" s="159">
        <f>B54</f>
        <v>-2074.6556495783179</v>
      </c>
      <c r="C60" s="159">
        <f>B60+C59</f>
        <v>-1879.3848308153679</v>
      </c>
      <c r="D60" s="159">
        <f>C60+D59</f>
        <v>-1521.7349332449744</v>
      </c>
      <c r="E60" s="159">
        <f>D60+E59</f>
        <v>-1030.4424424783665</v>
      </c>
      <c r="F60" s="159">
        <f>E60+F59</f>
        <v>-430.55520172928311</v>
      </c>
      <c r="G60" s="160">
        <f>F60+G59</f>
        <v>4685.7595479176252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64" t="s">
        <v>55</v>
      </c>
      <c r="B61" s="155">
        <f>B54</f>
        <v>-2074.6556495783179</v>
      </c>
      <c r="C61" s="155">
        <f>C58/(1+$B$10)^1</f>
        <v>195.27081876295014</v>
      </c>
      <c r="D61" s="155">
        <f>D58/(1+$B$10)^2</f>
        <v>357.64989757039336</v>
      </c>
      <c r="E61" s="155">
        <f>E58/(1+$B$10)^3</f>
        <v>491.29249076660801</v>
      </c>
      <c r="F61" s="155">
        <f>F58/(1+$B$10)^4</f>
        <v>599.88724074908339</v>
      </c>
      <c r="G61" s="156">
        <f>G58/(1+$B$10)^5</f>
        <v>2737.2438873577103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66" t="s">
        <v>56</v>
      </c>
      <c r="B62" s="159">
        <f>B54</f>
        <v>-2074.6556495783179</v>
      </c>
      <c r="C62" s="159">
        <f>B62+C61</f>
        <v>-1879.3848308153679</v>
      </c>
      <c r="D62" s="159">
        <f>C62+D61</f>
        <v>-1521.7349332449744</v>
      </c>
      <c r="E62" s="159">
        <f>D62+E61</f>
        <v>-1030.4424424783665</v>
      </c>
      <c r="F62" s="159">
        <f>E62+F61</f>
        <v>-430.55520172928311</v>
      </c>
      <c r="G62" s="160">
        <f>F62+G61</f>
        <v>2306.6886856284273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6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6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B65" s="3"/>
      <c r="C65" s="3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B66" s="3"/>
      <c r="C66" s="3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68"/>
      <c r="B67" s="3"/>
      <c r="C67" s="3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68"/>
      <c r="B68" s="3"/>
      <c r="C68" s="3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6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6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6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6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6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6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6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6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6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6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6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6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6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6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6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6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6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6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68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6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68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6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6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6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6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68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6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68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6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68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68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6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68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68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68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68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6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6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6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68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6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6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68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68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68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6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68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6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68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68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68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68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68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68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68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6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</sheetData>
  <mergeCells count="1">
    <mergeCell ref="A7:G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showGridLines="0" workbookViewId="0"/>
  </sheetViews>
  <sheetFormatPr defaultRowHeight="15"/>
  <cols>
    <col min="1" max="1" width="52" style="5" customWidth="1"/>
    <col min="2" max="6" width="15" style="5" customWidth="1"/>
    <col min="7" max="16384" width="9" style="5"/>
  </cols>
  <sheetData>
    <row r="1" spans="1:6">
      <c r="A1" s="4" t="s">
        <v>0</v>
      </c>
    </row>
    <row r="2" spans="1:6">
      <c r="A2" s="15"/>
    </row>
    <row r="5" spans="1:6">
      <c r="A5" s="4" t="s">
        <v>1</v>
      </c>
    </row>
    <row r="7" spans="1:6">
      <c r="A7" s="170" t="s">
        <v>59</v>
      </c>
      <c r="B7" s="171"/>
      <c r="C7" s="171"/>
      <c r="D7" s="171"/>
      <c r="E7" s="171"/>
      <c r="F7" s="171"/>
    </row>
    <row r="8" spans="1:6" s="61" customFormat="1">
      <c r="A8" s="59"/>
      <c r="B8" s="60"/>
      <c r="C8" s="60"/>
      <c r="D8" s="60"/>
      <c r="E8" s="60"/>
      <c r="F8" s="60"/>
    </row>
    <row r="9" spans="1:6">
      <c r="A9" s="6" t="s">
        <v>60</v>
      </c>
      <c r="B9" s="7" t="s">
        <v>61</v>
      </c>
      <c r="C9" s="7" t="s">
        <v>62</v>
      </c>
      <c r="D9" s="7" t="s">
        <v>63</v>
      </c>
      <c r="E9" s="7" t="s">
        <v>64</v>
      </c>
      <c r="F9" s="8" t="s">
        <v>65</v>
      </c>
    </row>
    <row r="10" spans="1:6">
      <c r="A10" s="9" t="s">
        <v>66</v>
      </c>
      <c r="B10" s="10">
        <v>659582</v>
      </c>
      <c r="C10" s="10">
        <v>967804</v>
      </c>
      <c r="D10" s="10">
        <v>804526</v>
      </c>
      <c r="E10" s="10">
        <v>1370719</v>
      </c>
      <c r="F10" s="11">
        <f t="shared" ref="F10:F41" si="0">B10+C10+D10+E10</f>
        <v>3802631</v>
      </c>
    </row>
    <row r="11" spans="1:6">
      <c r="A11" s="9" t="s">
        <v>67</v>
      </c>
      <c r="B11" s="10">
        <v>2407</v>
      </c>
      <c r="C11" s="10">
        <v>2076</v>
      </c>
      <c r="D11" s="10">
        <v>2029</v>
      </c>
      <c r="E11" s="10">
        <v>1760</v>
      </c>
      <c r="F11" s="11">
        <f t="shared" si="0"/>
        <v>8272</v>
      </c>
    </row>
    <row r="12" spans="1:6">
      <c r="A12" s="9" t="s">
        <v>68</v>
      </c>
      <c r="B12" s="10">
        <v>-1497</v>
      </c>
      <c r="C12" s="10">
        <v>-172</v>
      </c>
      <c r="D12" s="10">
        <v>-1122</v>
      </c>
      <c r="E12" s="10">
        <v>-6811</v>
      </c>
      <c r="F12" s="11">
        <f t="shared" si="0"/>
        <v>-9602</v>
      </c>
    </row>
    <row r="13" spans="1:6">
      <c r="A13" s="12" t="s">
        <v>69</v>
      </c>
      <c r="B13" s="13">
        <v>660492</v>
      </c>
      <c r="C13" s="13">
        <v>969707</v>
      </c>
      <c r="D13" s="13">
        <v>805433</v>
      </c>
      <c r="E13" s="13">
        <v>1365668</v>
      </c>
      <c r="F13" s="14">
        <f t="shared" si="0"/>
        <v>3801300</v>
      </c>
    </row>
    <row r="14" spans="1:6">
      <c r="A14" s="9" t="s">
        <v>70</v>
      </c>
      <c r="B14" s="10">
        <v>-123411</v>
      </c>
      <c r="C14" s="10">
        <v>-208687</v>
      </c>
      <c r="D14" s="10">
        <v>-140930</v>
      </c>
      <c r="E14" s="10">
        <v>-301691</v>
      </c>
      <c r="F14" s="11">
        <f t="shared" si="0"/>
        <v>-774719</v>
      </c>
    </row>
    <row r="15" spans="1:6">
      <c r="A15" s="12" t="s">
        <v>71</v>
      </c>
      <c r="B15" s="13">
        <v>537081</v>
      </c>
      <c r="C15" s="13">
        <v>761021</v>
      </c>
      <c r="D15" s="13">
        <v>664503</v>
      </c>
      <c r="E15" s="13">
        <v>1063977</v>
      </c>
      <c r="F15" s="14">
        <f t="shared" si="0"/>
        <v>3026582</v>
      </c>
    </row>
    <row r="16" spans="1:6">
      <c r="A16" s="9" t="s">
        <v>72</v>
      </c>
      <c r="B16" s="10">
        <v>-172117</v>
      </c>
      <c r="C16" s="10">
        <v>-210272</v>
      </c>
      <c r="D16" s="10">
        <v>-189966</v>
      </c>
      <c r="E16" s="10">
        <v>-347482</v>
      </c>
      <c r="F16" s="11">
        <f t="shared" si="0"/>
        <v>-919837</v>
      </c>
    </row>
    <row r="17" spans="1:6">
      <c r="A17" s="9" t="s">
        <v>73</v>
      </c>
      <c r="B17" s="10">
        <v>-285</v>
      </c>
      <c r="C17" s="10">
        <v>-542</v>
      </c>
      <c r="D17" s="10">
        <v>-308</v>
      </c>
      <c r="E17" s="10">
        <v>-501</v>
      </c>
      <c r="F17" s="11">
        <f t="shared" si="0"/>
        <v>-1636</v>
      </c>
    </row>
    <row r="18" spans="1:6">
      <c r="A18" s="12" t="s">
        <v>74</v>
      </c>
      <c r="B18" s="13">
        <v>364679</v>
      </c>
      <c r="C18" s="13">
        <v>550207</v>
      </c>
      <c r="D18" s="13">
        <v>474229</v>
      </c>
      <c r="E18" s="13">
        <v>715994</v>
      </c>
      <c r="F18" s="14">
        <f t="shared" si="0"/>
        <v>2105109</v>
      </c>
    </row>
    <row r="19" spans="1:6">
      <c r="A19" s="12" t="s">
        <v>75</v>
      </c>
      <c r="B19" s="13">
        <v>-274257</v>
      </c>
      <c r="C19" s="13">
        <v>-361589</v>
      </c>
      <c r="D19" s="13">
        <v>-270388</v>
      </c>
      <c r="E19" s="13">
        <v>-472552</v>
      </c>
      <c r="F19" s="14">
        <f t="shared" si="0"/>
        <v>-1378786</v>
      </c>
    </row>
    <row r="20" spans="1:6">
      <c r="A20" s="9" t="s">
        <v>76</v>
      </c>
      <c r="B20" s="10">
        <v>-183743</v>
      </c>
      <c r="C20" s="10">
        <v>-256991</v>
      </c>
      <c r="D20" s="10">
        <v>-214012</v>
      </c>
      <c r="E20" s="10">
        <v>-345734</v>
      </c>
      <c r="F20" s="11">
        <f t="shared" si="0"/>
        <v>-1000480</v>
      </c>
    </row>
    <row r="21" spans="1:6">
      <c r="A21" s="9" t="s">
        <v>77</v>
      </c>
      <c r="B21" s="10">
        <v>-103090</v>
      </c>
      <c r="C21" s="10">
        <v>-131327</v>
      </c>
      <c r="D21" s="10">
        <v>-113380</v>
      </c>
      <c r="E21" s="10">
        <v>-172933</v>
      </c>
      <c r="F21" s="11">
        <f t="shared" si="0"/>
        <v>-520730</v>
      </c>
    </row>
    <row r="22" spans="1:6">
      <c r="A22" s="9" t="s">
        <v>78</v>
      </c>
      <c r="B22" s="10">
        <v>-20838</v>
      </c>
      <c r="C22" s="10">
        <v>-27678</v>
      </c>
      <c r="D22" s="10">
        <v>-23006</v>
      </c>
      <c r="E22" s="10">
        <v>-35363</v>
      </c>
      <c r="F22" s="11">
        <f t="shared" si="0"/>
        <v>-106885</v>
      </c>
    </row>
    <row r="23" spans="1:6">
      <c r="A23" s="9" t="s">
        <v>79</v>
      </c>
      <c r="B23" s="10">
        <v>-7173</v>
      </c>
      <c r="C23" s="10">
        <v>-11924</v>
      </c>
      <c r="D23" s="10">
        <v>-13576</v>
      </c>
      <c r="E23" s="10">
        <v>-23266</v>
      </c>
      <c r="F23" s="11">
        <f t="shared" si="0"/>
        <v>-55939</v>
      </c>
    </row>
    <row r="24" spans="1:6">
      <c r="A24" s="9" t="s">
        <v>80</v>
      </c>
      <c r="B24" s="10">
        <v>-11729</v>
      </c>
      <c r="C24" s="10">
        <v>-17527</v>
      </c>
      <c r="D24" s="10">
        <v>-14314</v>
      </c>
      <c r="E24" s="10">
        <v>-24154</v>
      </c>
      <c r="F24" s="11">
        <f t="shared" si="0"/>
        <v>-67724</v>
      </c>
    </row>
    <row r="25" spans="1:6">
      <c r="A25" s="9" t="s">
        <v>81</v>
      </c>
      <c r="B25" s="10">
        <v>-8257</v>
      </c>
      <c r="C25" s="10">
        <v>-11791</v>
      </c>
      <c r="D25" s="10">
        <v>-8373</v>
      </c>
      <c r="E25" s="10">
        <v>-19917</v>
      </c>
      <c r="F25" s="11">
        <f t="shared" si="0"/>
        <v>-48338</v>
      </c>
    </row>
    <row r="26" spans="1:6">
      <c r="A26" s="9" t="s">
        <v>82</v>
      </c>
      <c r="B26" s="10">
        <v>-19844</v>
      </c>
      <c r="C26" s="10">
        <v>-31527</v>
      </c>
      <c r="D26" s="10">
        <v>-25020</v>
      </c>
      <c r="E26" s="10">
        <v>-47559</v>
      </c>
      <c r="F26" s="11">
        <f t="shared" si="0"/>
        <v>-123950</v>
      </c>
    </row>
    <row r="27" spans="1:6">
      <c r="A27" s="9" t="s">
        <v>83</v>
      </c>
      <c r="B27" s="10">
        <v>-12812</v>
      </c>
      <c r="C27" s="10">
        <v>-25216</v>
      </c>
      <c r="D27" s="10">
        <v>-16042</v>
      </c>
      <c r="E27" s="10">
        <v>-22542</v>
      </c>
      <c r="F27" s="11">
        <f t="shared" si="0"/>
        <v>-76612</v>
      </c>
    </row>
    <row r="28" spans="1:6">
      <c r="A28" s="9" t="s">
        <v>84</v>
      </c>
      <c r="B28" s="10">
        <v>-50415</v>
      </c>
      <c r="C28" s="10">
        <v>-60128</v>
      </c>
      <c r="D28" s="10">
        <v>-50670</v>
      </c>
      <c r="E28" s="10">
        <v>-55598</v>
      </c>
      <c r="F28" s="11">
        <f t="shared" si="0"/>
        <v>-216811</v>
      </c>
    </row>
    <row r="29" spans="1:6">
      <c r="A29" s="9" t="s">
        <v>85</v>
      </c>
      <c r="B29" s="10">
        <v>-22200</v>
      </c>
      <c r="C29" s="10">
        <v>-24927</v>
      </c>
      <c r="D29" s="10">
        <v>-22982</v>
      </c>
      <c r="E29" s="10">
        <v>-26513</v>
      </c>
      <c r="F29" s="11">
        <f t="shared" si="0"/>
        <v>-96622</v>
      </c>
    </row>
    <row r="30" spans="1:6">
      <c r="A30" s="9" t="s">
        <v>86</v>
      </c>
      <c r="B30" s="10">
        <v>-255</v>
      </c>
      <c r="C30" s="10">
        <v>-447</v>
      </c>
      <c r="D30" s="10">
        <v>-255</v>
      </c>
      <c r="E30" s="10">
        <v>-437</v>
      </c>
      <c r="F30" s="11">
        <f t="shared" si="0"/>
        <v>-1394</v>
      </c>
    </row>
    <row r="31" spans="1:6">
      <c r="A31" s="9" t="s">
        <v>87</v>
      </c>
      <c r="B31" s="10">
        <v>-18749</v>
      </c>
      <c r="C31" s="10">
        <v>-25239</v>
      </c>
      <c r="D31" s="10">
        <v>-20570</v>
      </c>
      <c r="E31" s="10">
        <v>-20614</v>
      </c>
      <c r="F31" s="11">
        <f t="shared" si="0"/>
        <v>-85172</v>
      </c>
    </row>
    <row r="32" spans="1:6">
      <c r="A32" s="9" t="s">
        <v>88</v>
      </c>
      <c r="B32" s="10">
        <v>-9211</v>
      </c>
      <c r="C32" s="10">
        <v>-9514</v>
      </c>
      <c r="D32" s="10">
        <v>-6864</v>
      </c>
      <c r="E32" s="10">
        <v>-8033</v>
      </c>
      <c r="F32" s="11">
        <f t="shared" si="0"/>
        <v>-33622</v>
      </c>
    </row>
    <row r="33" spans="1:6">
      <c r="A33" s="9" t="s">
        <v>89</v>
      </c>
      <c r="B33" s="10">
        <v>-38115</v>
      </c>
      <c r="C33" s="10">
        <v>-37933</v>
      </c>
      <c r="D33" s="10">
        <v>-36806</v>
      </c>
      <c r="E33" s="10">
        <v>-38345</v>
      </c>
      <c r="F33" s="11">
        <f t="shared" si="0"/>
        <v>-151199</v>
      </c>
    </row>
    <row r="34" spans="1:6">
      <c r="A34" s="9" t="s">
        <v>90</v>
      </c>
      <c r="B34" s="10">
        <v>-1983</v>
      </c>
      <c r="C34" s="10">
        <v>-6537</v>
      </c>
      <c r="D34" s="10">
        <v>31100</v>
      </c>
      <c r="E34" s="10">
        <v>-32875</v>
      </c>
      <c r="F34" s="11">
        <f t="shared" si="0"/>
        <v>-10295</v>
      </c>
    </row>
    <row r="35" spans="1:6">
      <c r="A35" s="12" t="s">
        <v>91</v>
      </c>
      <c r="B35" s="13">
        <v>90422</v>
      </c>
      <c r="C35" s="13">
        <v>188619</v>
      </c>
      <c r="D35" s="13">
        <v>203841</v>
      </c>
      <c r="E35" s="13">
        <v>243442</v>
      </c>
      <c r="F35" s="14">
        <f t="shared" si="0"/>
        <v>726324</v>
      </c>
    </row>
    <row r="36" spans="1:6">
      <c r="A36" s="12" t="s">
        <v>92</v>
      </c>
      <c r="B36" s="13">
        <v>-19813</v>
      </c>
      <c r="C36" s="13">
        <v>-33408</v>
      </c>
      <c r="D36" s="13">
        <v>-28586</v>
      </c>
      <c r="E36" s="13">
        <v>-56715</v>
      </c>
      <c r="F36" s="14">
        <f t="shared" si="0"/>
        <v>-138522</v>
      </c>
    </row>
    <row r="37" spans="1:6">
      <c r="A37" s="9" t="s">
        <v>93</v>
      </c>
      <c r="B37" s="10">
        <v>13851</v>
      </c>
      <c r="C37" s="10">
        <v>12255</v>
      </c>
      <c r="D37" s="10">
        <v>33095</v>
      </c>
      <c r="E37" s="10">
        <v>10537</v>
      </c>
      <c r="F37" s="11">
        <f t="shared" si="0"/>
        <v>69738</v>
      </c>
    </row>
    <row r="38" spans="1:6">
      <c r="A38" s="9" t="s">
        <v>94</v>
      </c>
      <c r="B38" s="10">
        <v>-33664</v>
      </c>
      <c r="C38" s="10">
        <v>-45663</v>
      </c>
      <c r="D38" s="10">
        <v>-61681</v>
      </c>
      <c r="E38" s="10">
        <v>-67252</v>
      </c>
      <c r="F38" s="11">
        <f t="shared" si="0"/>
        <v>-208260</v>
      </c>
    </row>
    <row r="39" spans="1:6">
      <c r="A39" s="12" t="s">
        <v>95</v>
      </c>
      <c r="B39" s="13">
        <v>70609</v>
      </c>
      <c r="C39" s="13">
        <v>155211</v>
      </c>
      <c r="D39" s="13">
        <v>175255</v>
      </c>
      <c r="E39" s="13">
        <v>186727</v>
      </c>
      <c r="F39" s="14">
        <f t="shared" si="0"/>
        <v>587802</v>
      </c>
    </row>
    <row r="40" spans="1:6">
      <c r="A40" s="9" t="s">
        <v>96</v>
      </c>
      <c r="B40" s="10">
        <v>44430</v>
      </c>
      <c r="C40" s="10">
        <v>-4122</v>
      </c>
      <c r="D40" s="10">
        <v>595</v>
      </c>
      <c r="E40" s="10">
        <v>-9199</v>
      </c>
      <c r="F40" s="11">
        <f t="shared" si="0"/>
        <v>31704</v>
      </c>
    </row>
    <row r="41" spans="1:6">
      <c r="A41" s="12" t="s">
        <v>97</v>
      </c>
      <c r="B41" s="13">
        <v>115039</v>
      </c>
      <c r="C41" s="13">
        <v>151089</v>
      </c>
      <c r="D41" s="13">
        <v>175850</v>
      </c>
      <c r="E41" s="13">
        <v>177528</v>
      </c>
      <c r="F41" s="14">
        <f t="shared" si="0"/>
        <v>619506</v>
      </c>
    </row>
  </sheetData>
  <mergeCells count="1">
    <mergeCell ref="A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showGridLines="0" workbookViewId="0"/>
  </sheetViews>
  <sheetFormatPr defaultRowHeight="15"/>
  <cols>
    <col min="1" max="1" width="52" style="5" customWidth="1"/>
    <col min="2" max="6" width="15" style="5" customWidth="1"/>
    <col min="7" max="14" width="9" style="5"/>
    <col min="15" max="15" width="9.25" style="5" customWidth="1"/>
    <col min="16" max="16384" width="9" style="5"/>
  </cols>
  <sheetData>
    <row r="1" spans="1:14">
      <c r="A1" s="4" t="s">
        <v>0</v>
      </c>
    </row>
    <row r="2" spans="1:14">
      <c r="A2" s="15"/>
    </row>
    <row r="5" spans="1:14">
      <c r="A5" s="4" t="s">
        <v>1</v>
      </c>
    </row>
    <row r="7" spans="1:14">
      <c r="A7" s="170" t="s">
        <v>59</v>
      </c>
      <c r="B7" s="171"/>
      <c r="C7" s="171"/>
      <c r="D7" s="171"/>
      <c r="E7" s="171"/>
      <c r="F7" s="171"/>
    </row>
    <row r="8" spans="1:14" s="61" customFormat="1">
      <c r="A8" s="59"/>
      <c r="B8" s="60"/>
      <c r="C8" s="60"/>
      <c r="D8" s="60"/>
      <c r="E8" s="60"/>
      <c r="F8" s="60"/>
    </row>
    <row r="9" spans="1:14">
      <c r="A9" s="6" t="s">
        <v>60</v>
      </c>
      <c r="B9" s="85" t="s">
        <v>65</v>
      </c>
      <c r="C9" s="122">
        <v>45658</v>
      </c>
      <c r="D9" s="122" t="s">
        <v>316</v>
      </c>
      <c r="E9" s="122">
        <v>45717</v>
      </c>
      <c r="F9" s="122" t="s">
        <v>317</v>
      </c>
      <c r="G9" s="122" t="s">
        <v>318</v>
      </c>
      <c r="H9" s="122">
        <v>45809</v>
      </c>
      <c r="I9" s="122">
        <v>45839</v>
      </c>
      <c r="J9" s="122" t="s">
        <v>319</v>
      </c>
      <c r="K9" s="122" t="s">
        <v>320</v>
      </c>
      <c r="L9" s="122" t="s">
        <v>321</v>
      </c>
      <c r="M9" s="122">
        <v>45962</v>
      </c>
      <c r="N9" s="123" t="s">
        <v>322</v>
      </c>
    </row>
    <row r="10" spans="1:14">
      <c r="A10" s="9" t="s">
        <v>110</v>
      </c>
      <c r="B10" s="86">
        <v>8986143</v>
      </c>
      <c r="C10" s="86">
        <v>520460</v>
      </c>
      <c r="D10" s="86">
        <v>520460</v>
      </c>
      <c r="E10" s="86">
        <v>520460</v>
      </c>
      <c r="F10" s="86">
        <v>764118</v>
      </c>
      <c r="G10" s="86">
        <v>764118</v>
      </c>
      <c r="H10" s="86">
        <v>764118</v>
      </c>
      <c r="I10" s="86">
        <v>634672</v>
      </c>
      <c r="J10" s="86">
        <v>634672</v>
      </c>
      <c r="K10" s="86">
        <v>634672</v>
      </c>
      <c r="L10" s="86">
        <v>1076131</v>
      </c>
      <c r="M10" s="86">
        <v>1076131</v>
      </c>
      <c r="N10" s="87">
        <v>1076131</v>
      </c>
    </row>
    <row r="11" spans="1:14">
      <c r="A11" s="9" t="s">
        <v>111</v>
      </c>
      <c r="B11" s="86">
        <v>-449310</v>
      </c>
      <c r="C11" s="86">
        <v>-26023</v>
      </c>
      <c r="D11" s="86">
        <v>-26023</v>
      </c>
      <c r="E11" s="86">
        <v>-26023</v>
      </c>
      <c r="F11" s="86">
        <v>-38206</v>
      </c>
      <c r="G11" s="86">
        <v>-38206</v>
      </c>
      <c r="H11" s="86">
        <v>-38206</v>
      </c>
      <c r="I11" s="86">
        <v>-31734</v>
      </c>
      <c r="J11" s="86">
        <v>-31734</v>
      </c>
      <c r="K11" s="86">
        <v>-31734</v>
      </c>
      <c r="L11" s="86">
        <v>-53807</v>
      </c>
      <c r="M11" s="86">
        <v>-53807</v>
      </c>
      <c r="N11" s="87">
        <v>-53807</v>
      </c>
    </row>
    <row r="12" spans="1:14">
      <c r="A12" s="9" t="s">
        <v>112</v>
      </c>
      <c r="B12" s="86">
        <v>-1831410</v>
      </c>
      <c r="C12" s="86">
        <v>-106072</v>
      </c>
      <c r="D12" s="86">
        <v>-106072</v>
      </c>
      <c r="E12" s="86">
        <v>-106072</v>
      </c>
      <c r="F12" s="86">
        <v>-155730</v>
      </c>
      <c r="G12" s="86">
        <v>-155730</v>
      </c>
      <c r="H12" s="86">
        <v>-155730</v>
      </c>
      <c r="I12" s="86">
        <v>-129349</v>
      </c>
      <c r="J12" s="86">
        <v>-129349</v>
      </c>
      <c r="K12" s="86">
        <v>-129349</v>
      </c>
      <c r="L12" s="86">
        <v>-219319</v>
      </c>
      <c r="M12" s="86">
        <v>-219319</v>
      </c>
      <c r="N12" s="87">
        <v>-219319</v>
      </c>
    </row>
    <row r="13" spans="1:14">
      <c r="A13" s="12" t="s">
        <v>113</v>
      </c>
      <c r="B13" s="90">
        <v>6705423</v>
      </c>
      <c r="C13" s="88">
        <v>388365</v>
      </c>
      <c r="D13" s="88">
        <v>388365</v>
      </c>
      <c r="E13" s="88">
        <v>388365</v>
      </c>
      <c r="F13" s="88">
        <v>570182</v>
      </c>
      <c r="G13" s="88">
        <v>570182</v>
      </c>
      <c r="H13" s="88">
        <v>570182</v>
      </c>
      <c r="I13" s="88">
        <v>473589</v>
      </c>
      <c r="J13" s="88">
        <v>473589</v>
      </c>
      <c r="K13" s="88">
        <v>473589</v>
      </c>
      <c r="L13" s="88">
        <v>803005</v>
      </c>
      <c r="M13" s="88">
        <v>803005</v>
      </c>
      <c r="N13" s="89">
        <v>803005</v>
      </c>
    </row>
    <row r="14" spans="1:14">
      <c r="A14" s="9" t="s">
        <v>114</v>
      </c>
      <c r="B14" s="86">
        <v>-2037909</v>
      </c>
      <c r="C14" s="86">
        <v>-118032</v>
      </c>
      <c r="D14" s="86">
        <v>-118032</v>
      </c>
      <c r="E14" s="86">
        <v>-118032</v>
      </c>
      <c r="F14" s="86">
        <v>-173289</v>
      </c>
      <c r="G14" s="86">
        <v>-173289</v>
      </c>
      <c r="H14" s="86">
        <v>-173289</v>
      </c>
      <c r="I14" s="86">
        <v>-143933</v>
      </c>
      <c r="J14" s="86">
        <v>-143933</v>
      </c>
      <c r="K14" s="86">
        <v>-143933</v>
      </c>
      <c r="L14" s="86">
        <v>-244049</v>
      </c>
      <c r="M14" s="86">
        <v>-244049</v>
      </c>
      <c r="N14" s="87">
        <v>-244049</v>
      </c>
    </row>
    <row r="15" spans="1:14">
      <c r="A15" s="12" t="s">
        <v>74</v>
      </c>
      <c r="B15" s="90">
        <v>4667514</v>
      </c>
      <c r="C15" s="88">
        <v>270333</v>
      </c>
      <c r="D15" s="88">
        <v>270333</v>
      </c>
      <c r="E15" s="88">
        <v>270333</v>
      </c>
      <c r="F15" s="88">
        <v>396893</v>
      </c>
      <c r="G15" s="88">
        <v>396893</v>
      </c>
      <c r="H15" s="88">
        <v>396893</v>
      </c>
      <c r="I15" s="88">
        <v>329656</v>
      </c>
      <c r="J15" s="88">
        <v>329656</v>
      </c>
      <c r="K15" s="88">
        <v>329656</v>
      </c>
      <c r="L15" s="88">
        <v>558956</v>
      </c>
      <c r="M15" s="88">
        <v>558956</v>
      </c>
      <c r="N15" s="89">
        <v>558956</v>
      </c>
    </row>
    <row r="16" spans="1:14">
      <c r="A16" s="9" t="s">
        <v>115</v>
      </c>
      <c r="B16" s="86">
        <v>-2216577</v>
      </c>
      <c r="C16" s="86">
        <v>-128380</v>
      </c>
      <c r="D16" s="86">
        <v>-128380</v>
      </c>
      <c r="E16" s="86">
        <v>-128380</v>
      </c>
      <c r="F16" s="86">
        <v>-188482</v>
      </c>
      <c r="G16" s="86">
        <v>-188482</v>
      </c>
      <c r="H16" s="86">
        <v>-188482</v>
      </c>
      <c r="I16" s="86">
        <v>-156552</v>
      </c>
      <c r="J16" s="86">
        <v>-156552</v>
      </c>
      <c r="K16" s="86">
        <v>-156552</v>
      </c>
      <c r="L16" s="86">
        <v>-265445</v>
      </c>
      <c r="M16" s="86">
        <v>-265445</v>
      </c>
      <c r="N16" s="87">
        <v>-265445</v>
      </c>
    </row>
    <row r="17" spans="1:14">
      <c r="A17" s="9" t="s">
        <v>116</v>
      </c>
      <c r="B17" s="86">
        <v>-334986</v>
      </c>
      <c r="C17" s="86">
        <v>-19402</v>
      </c>
      <c r="D17" s="86">
        <v>-19402</v>
      </c>
      <c r="E17" s="86">
        <v>-19402</v>
      </c>
      <c r="F17" s="86">
        <v>-28485</v>
      </c>
      <c r="G17" s="86">
        <v>-28485</v>
      </c>
      <c r="H17" s="86">
        <v>-28485</v>
      </c>
      <c r="I17" s="86">
        <v>-23659</v>
      </c>
      <c r="J17" s="86">
        <v>-23659</v>
      </c>
      <c r="K17" s="86">
        <v>-23659</v>
      </c>
      <c r="L17" s="86">
        <v>-40116</v>
      </c>
      <c r="M17" s="86">
        <v>-40116</v>
      </c>
      <c r="N17" s="87">
        <v>-40116</v>
      </c>
    </row>
    <row r="18" spans="1:14">
      <c r="A18" s="12" t="s">
        <v>117</v>
      </c>
      <c r="B18" s="90">
        <v>2115951</v>
      </c>
      <c r="C18" s="88">
        <v>122551</v>
      </c>
      <c r="D18" s="88">
        <v>122551</v>
      </c>
      <c r="E18" s="88">
        <v>122551</v>
      </c>
      <c r="F18" s="88">
        <v>179926</v>
      </c>
      <c r="G18" s="88">
        <v>179926</v>
      </c>
      <c r="H18" s="88">
        <v>179926</v>
      </c>
      <c r="I18" s="88">
        <v>149445</v>
      </c>
      <c r="J18" s="88">
        <v>149445</v>
      </c>
      <c r="K18" s="88">
        <v>149445</v>
      </c>
      <c r="L18" s="88">
        <v>253395</v>
      </c>
      <c r="M18" s="88">
        <v>253395</v>
      </c>
      <c r="N18" s="89">
        <v>253395</v>
      </c>
    </row>
    <row r="19" spans="1:14">
      <c r="A19" s="12" t="s">
        <v>118</v>
      </c>
      <c r="B19" s="90">
        <v>-719421</v>
      </c>
      <c r="C19" s="88">
        <v>-41667</v>
      </c>
      <c r="D19" s="88">
        <v>-41667</v>
      </c>
      <c r="E19" s="88">
        <v>-41667</v>
      </c>
      <c r="F19" s="88">
        <v>-61175</v>
      </c>
      <c r="G19" s="88">
        <v>-61175</v>
      </c>
      <c r="H19" s="88">
        <v>-61175</v>
      </c>
      <c r="I19" s="88">
        <v>-50811</v>
      </c>
      <c r="J19" s="88">
        <v>-50811</v>
      </c>
      <c r="K19" s="88">
        <v>-50811</v>
      </c>
      <c r="L19" s="88">
        <v>-86154</v>
      </c>
      <c r="M19" s="88">
        <v>-86154</v>
      </c>
      <c r="N19" s="89">
        <v>-86154</v>
      </c>
    </row>
    <row r="20" spans="1:14">
      <c r="A20" s="9" t="s">
        <v>119</v>
      </c>
      <c r="B20" s="86">
        <v>1396530</v>
      </c>
      <c r="C20" s="86">
        <v>80884</v>
      </c>
      <c r="D20" s="86">
        <v>80884</v>
      </c>
      <c r="E20" s="86">
        <v>80884</v>
      </c>
      <c r="F20" s="86">
        <v>118751</v>
      </c>
      <c r="G20" s="86">
        <v>118751</v>
      </c>
      <c r="H20" s="86">
        <v>118751</v>
      </c>
      <c r="I20" s="86">
        <v>98634</v>
      </c>
      <c r="J20" s="86">
        <v>98634</v>
      </c>
      <c r="K20" s="86">
        <v>98634</v>
      </c>
      <c r="L20" s="86">
        <v>167241</v>
      </c>
      <c r="M20" s="86">
        <v>167241</v>
      </c>
      <c r="N20" s="87">
        <v>167241</v>
      </c>
    </row>
    <row r="23" spans="1:14">
      <c r="A23" s="80" t="s">
        <v>120</v>
      </c>
      <c r="B23" s="81" t="s">
        <v>18</v>
      </c>
      <c r="C23" s="81" t="s">
        <v>121</v>
      </c>
    </row>
    <row r="24" spans="1:14">
      <c r="A24" s="82" t="s">
        <v>122</v>
      </c>
      <c r="B24" s="84">
        <v>0.20380369873464341</v>
      </c>
      <c r="C24" s="83" t="s">
        <v>123</v>
      </c>
    </row>
    <row r="25" spans="1:14">
      <c r="A25" s="82" t="s">
        <v>124</v>
      </c>
      <c r="B25" s="84">
        <v>0.30391940479392265</v>
      </c>
      <c r="C25" s="83" t="s">
        <v>125</v>
      </c>
    </row>
    <row r="26" spans="1:14">
      <c r="A26" s="82" t="s">
        <v>126</v>
      </c>
      <c r="B26" s="84">
        <v>0.33056431314268042</v>
      </c>
      <c r="C26" s="83" t="s">
        <v>127</v>
      </c>
    </row>
    <row r="27" spans="1:14">
      <c r="A27" s="82" t="s">
        <v>128</v>
      </c>
      <c r="B27" s="84">
        <v>4.995701421603644E-2</v>
      </c>
      <c r="C27" s="83" t="s">
        <v>129</v>
      </c>
    </row>
    <row r="28" spans="1:14">
      <c r="A28" s="82" t="s">
        <v>130</v>
      </c>
      <c r="B28" s="84">
        <v>0.34</v>
      </c>
      <c r="C28" s="83" t="s">
        <v>131</v>
      </c>
    </row>
    <row r="29" spans="1:14">
      <c r="A29" s="82" t="s">
        <v>132</v>
      </c>
      <c r="B29" s="91">
        <v>0.05</v>
      </c>
      <c r="C29" s="83" t="s">
        <v>133</v>
      </c>
    </row>
  </sheetData>
  <mergeCells count="1">
    <mergeCell ref="A7:F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4"/>
  <sheetViews>
    <sheetView showGridLines="0" workbookViewId="0"/>
  </sheetViews>
  <sheetFormatPr defaultRowHeight="15"/>
  <cols>
    <col min="1" max="1" width="46" style="37" customWidth="1"/>
    <col min="2" max="5" width="14" style="37" customWidth="1"/>
    <col min="6" max="6" width="15.75" style="37" customWidth="1"/>
    <col min="7" max="16384" width="9" style="37"/>
  </cols>
  <sheetData>
    <row r="1" spans="1:26" s="5" customFormat="1">
      <c r="A1" s="4" t="s">
        <v>0</v>
      </c>
    </row>
    <row r="2" spans="1:26" s="5" customFormat="1"/>
    <row r="3" spans="1:26" s="5" customFormat="1"/>
    <row r="4" spans="1:26" s="5" customFormat="1"/>
    <row r="5" spans="1:26" s="5" customFormat="1">
      <c r="A5" s="4" t="s">
        <v>1</v>
      </c>
    </row>
    <row r="6" spans="1:26" s="5" customFormat="1"/>
    <row r="7" spans="1:26" s="5" customFormat="1">
      <c r="A7" s="170" t="s">
        <v>59</v>
      </c>
      <c r="B7" s="171"/>
      <c r="C7" s="171"/>
      <c r="D7" s="171"/>
      <c r="E7" s="171"/>
      <c r="F7" s="171"/>
    </row>
    <row r="9" spans="1:26">
      <c r="A9" s="47" t="s">
        <v>134</v>
      </c>
      <c r="B9" s="48" t="s">
        <v>61</v>
      </c>
      <c r="C9" s="48" t="s">
        <v>62</v>
      </c>
      <c r="D9" s="48" t="s">
        <v>63</v>
      </c>
      <c r="E9" s="48" t="s">
        <v>64</v>
      </c>
      <c r="F9" s="49">
        <v>2025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41" t="s">
        <v>135</v>
      </c>
      <c r="B10" s="42">
        <v>115039</v>
      </c>
      <c r="C10" s="42">
        <v>151089</v>
      </c>
      <c r="D10" s="42">
        <v>175849</v>
      </c>
      <c r="E10" s="42">
        <v>177525</v>
      </c>
      <c r="F10" s="43">
        <v>619502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41" t="s">
        <v>136</v>
      </c>
      <c r="B11" s="42">
        <v>-41829</v>
      </c>
      <c r="C11" s="42">
        <v>15017</v>
      </c>
      <c r="D11" s="42">
        <v>178939</v>
      </c>
      <c r="E11" s="42">
        <v>90381</v>
      </c>
      <c r="F11" s="43">
        <v>242508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41" t="s">
        <v>137</v>
      </c>
      <c r="B12" s="42">
        <v>-246847</v>
      </c>
      <c r="C12" s="42">
        <v>3033</v>
      </c>
      <c r="D12" s="42">
        <v>-162106</v>
      </c>
      <c r="E12" s="42">
        <v>189239</v>
      </c>
      <c r="F12" s="43">
        <v>-216681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50" t="s">
        <v>138</v>
      </c>
      <c r="B13" s="51">
        <v>-173637</v>
      </c>
      <c r="C13" s="51">
        <v>169139</v>
      </c>
      <c r="D13" s="51">
        <v>192682</v>
      </c>
      <c r="E13" s="51">
        <v>457145</v>
      </c>
      <c r="F13" s="52">
        <v>645329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41" t="s">
        <v>139</v>
      </c>
      <c r="B14" s="42">
        <v>204146</v>
      </c>
      <c r="C14" s="42">
        <v>-34275</v>
      </c>
      <c r="D14" s="42">
        <v>-35408</v>
      </c>
      <c r="E14" s="42">
        <v>-174311</v>
      </c>
      <c r="F14" s="43">
        <v>-39848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41" t="s">
        <v>140</v>
      </c>
      <c r="B15" s="42">
        <v>-171461</v>
      </c>
      <c r="C15" s="42">
        <v>9474</v>
      </c>
      <c r="D15" s="42">
        <v>-127461</v>
      </c>
      <c r="E15" s="42">
        <v>143628</v>
      </c>
      <c r="F15" s="43">
        <v>-145820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41" t="s">
        <v>141</v>
      </c>
      <c r="B16" s="42">
        <v>-211326</v>
      </c>
      <c r="C16" s="42">
        <v>9372</v>
      </c>
      <c r="D16" s="42">
        <v>38520</v>
      </c>
      <c r="E16" s="42">
        <v>-18252</v>
      </c>
      <c r="F16" s="43">
        <v>-181686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41" t="s">
        <v>142</v>
      </c>
      <c r="B17" s="42">
        <v>25103</v>
      </c>
      <c r="C17" s="42">
        <v>-6229</v>
      </c>
      <c r="D17" s="42">
        <v>-1045</v>
      </c>
      <c r="E17" s="42">
        <v>105850</v>
      </c>
      <c r="F17" s="43">
        <v>123679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41" t="s">
        <v>143</v>
      </c>
      <c r="B18" s="42">
        <v>-70842</v>
      </c>
      <c r="C18" s="42">
        <v>52168</v>
      </c>
      <c r="D18" s="42">
        <v>2603</v>
      </c>
      <c r="E18" s="42">
        <v>42617</v>
      </c>
      <c r="F18" s="43">
        <v>26546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41" t="s">
        <v>144</v>
      </c>
      <c r="B19" s="42">
        <v>-22467</v>
      </c>
      <c r="C19" s="42">
        <v>-27477</v>
      </c>
      <c r="D19" s="42">
        <v>-39313</v>
      </c>
      <c r="E19" s="42">
        <v>89706</v>
      </c>
      <c r="F19" s="43">
        <v>449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50" t="s">
        <v>145</v>
      </c>
      <c r="B20" s="51">
        <v>-173637</v>
      </c>
      <c r="C20" s="51">
        <v>169140</v>
      </c>
      <c r="D20" s="51">
        <v>-11084</v>
      </c>
      <c r="E20" s="51">
        <v>383288</v>
      </c>
      <c r="F20" s="52">
        <v>367707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41" t="s">
        <v>146</v>
      </c>
      <c r="B21" s="42">
        <v>-19668</v>
      </c>
      <c r="C21" s="42">
        <v>-16674</v>
      </c>
      <c r="D21" s="42">
        <v>-22051</v>
      </c>
      <c r="E21" s="42">
        <v>-22050</v>
      </c>
      <c r="F21" s="43">
        <v>-80443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50" t="s">
        <v>147</v>
      </c>
      <c r="B22" s="51">
        <v>-193305</v>
      </c>
      <c r="C22" s="51">
        <v>152466</v>
      </c>
      <c r="D22" s="51">
        <v>-33135</v>
      </c>
      <c r="E22" s="51">
        <v>361238</v>
      </c>
      <c r="F22" s="52">
        <v>287264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53" t="s">
        <v>148</v>
      </c>
      <c r="B23" s="54"/>
      <c r="C23" s="54"/>
      <c r="D23" s="54"/>
      <c r="E23" s="54"/>
      <c r="F23" s="5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41" t="s">
        <v>149</v>
      </c>
      <c r="B24" s="42"/>
      <c r="C24" s="42"/>
      <c r="D24" s="42"/>
      <c r="E24" s="42"/>
      <c r="F24" s="43">
        <v>457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41" t="s">
        <v>150</v>
      </c>
      <c r="B25" s="42"/>
      <c r="C25" s="42"/>
      <c r="D25" s="42"/>
      <c r="E25" s="42"/>
      <c r="F25" s="43">
        <v>498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41" t="s">
        <v>151</v>
      </c>
      <c r="B26" s="42"/>
      <c r="C26" s="42"/>
      <c r="D26" s="42"/>
      <c r="E26" s="42"/>
      <c r="F26" s="43">
        <v>477.5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41" t="s">
        <v>152</v>
      </c>
      <c r="B27" s="42"/>
      <c r="C27" s="42"/>
      <c r="D27" s="42"/>
      <c r="E27" s="42"/>
      <c r="F27" s="43">
        <v>41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41" t="s">
        <v>153</v>
      </c>
      <c r="B28" s="42"/>
      <c r="C28" s="42"/>
      <c r="D28" s="42"/>
      <c r="E28" s="42"/>
      <c r="F28" s="44">
        <v>-32501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41" t="s">
        <v>154</v>
      </c>
      <c r="B29" s="42"/>
      <c r="C29" s="42"/>
      <c r="D29" s="42"/>
      <c r="E29" s="42"/>
      <c r="F29" s="44">
        <v>-792.70731707317077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41" t="s">
        <v>155</v>
      </c>
      <c r="B30" s="42"/>
      <c r="C30" s="42"/>
      <c r="D30" s="42"/>
      <c r="E30" s="42"/>
      <c r="F30" s="43">
        <v>601.6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41" t="s">
        <v>156</v>
      </c>
      <c r="B31" s="42"/>
      <c r="C31" s="42"/>
      <c r="D31" s="42"/>
      <c r="E31" s="42"/>
      <c r="F31" s="43">
        <v>770.06701570680627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41"/>
      <c r="B32" s="45"/>
      <c r="C32" s="45"/>
      <c r="D32" s="45"/>
      <c r="E32" s="45"/>
      <c r="F32" s="4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41" t="s">
        <v>157</v>
      </c>
      <c r="B33" s="45"/>
      <c r="C33" s="45"/>
      <c r="D33" s="45"/>
      <c r="E33" s="45"/>
      <c r="F33" s="38">
        <v>4.3299999999999998E-2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41" t="s">
        <v>158</v>
      </c>
      <c r="B34" s="45"/>
      <c r="C34" s="45"/>
      <c r="D34" s="45"/>
      <c r="E34" s="45"/>
      <c r="F34" s="38">
        <v>2.3300000000000001E-2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41" t="s">
        <v>159</v>
      </c>
      <c r="B35" s="45"/>
      <c r="C35" s="45"/>
      <c r="D35" s="45"/>
      <c r="E35" s="45"/>
      <c r="F35" s="38">
        <f>F34+F33</f>
        <v>6.6599999999999993E-2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41" t="s">
        <v>160</v>
      </c>
      <c r="B36" s="45"/>
      <c r="C36" s="45"/>
      <c r="D36" s="45"/>
      <c r="E36" s="45"/>
      <c r="F36" s="38">
        <v>8.5300000000000001E-2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41" t="s">
        <v>161</v>
      </c>
      <c r="B37" s="45"/>
      <c r="C37" s="45"/>
      <c r="D37" s="45"/>
      <c r="E37" s="45"/>
      <c r="F37" s="39">
        <v>0.25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41" t="s">
        <v>162</v>
      </c>
      <c r="B38" s="45"/>
      <c r="C38" s="45"/>
      <c r="D38" s="45"/>
      <c r="E38" s="45"/>
      <c r="F38" s="38">
        <f>F36+F37*(F35)</f>
        <v>0.10195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41" t="s">
        <v>163</v>
      </c>
      <c r="B39" s="45"/>
      <c r="C39" s="45"/>
      <c r="D39" s="45"/>
      <c r="E39" s="45"/>
      <c r="F39" s="40">
        <v>5150000000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41" t="s">
        <v>164</v>
      </c>
      <c r="B40" s="45"/>
      <c r="C40" s="45"/>
      <c r="D40" s="45"/>
      <c r="E40" s="45"/>
      <c r="F40" s="40">
        <v>829000000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41" t="s">
        <v>165</v>
      </c>
      <c r="B41" s="45"/>
      <c r="C41" s="45"/>
      <c r="D41" s="45"/>
      <c r="E41" s="45"/>
      <c r="F41" s="40">
        <v>59044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41" t="s">
        <v>166</v>
      </c>
      <c r="B42" s="45"/>
      <c r="C42" s="45"/>
      <c r="D42" s="45"/>
      <c r="E42" s="45"/>
      <c r="F42" s="40">
        <f>SUM('Balance Sheet'!B33,'Balance Sheet'!C33,'Balance Sheet'!B44,'Balance Sheet'!C44)/2</f>
        <v>464918.5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41" t="s">
        <v>167</v>
      </c>
      <c r="B43" s="45"/>
      <c r="C43" s="45"/>
      <c r="D43" s="45"/>
      <c r="E43" s="45"/>
      <c r="F43" s="38">
        <f>F41/F42</f>
        <v>0.12699860298095259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41" t="s">
        <v>168</v>
      </c>
      <c r="B44" s="45"/>
      <c r="C44" s="45"/>
      <c r="D44" s="45"/>
      <c r="E44" s="45"/>
      <c r="F44" s="38">
        <f>F43*(1-0.34)</f>
        <v>8.3819077967428698E-2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41" t="s">
        <v>169</v>
      </c>
      <c r="B45" s="45"/>
      <c r="C45" s="45"/>
      <c r="D45" s="45"/>
      <c r="E45" s="45"/>
      <c r="F45" s="38">
        <f>(F39/(F40+F39))*F38+((F40/(F39+F40))*F44)</f>
        <v>9.9436112332329546E-2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</sheetData>
  <mergeCells count="1">
    <mergeCell ref="A7:F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24"/>
  <sheetViews>
    <sheetView showGridLines="0" workbookViewId="0"/>
  </sheetViews>
  <sheetFormatPr defaultRowHeight="14.25"/>
  <cols>
    <col min="1" max="1" width="54" customWidth="1"/>
    <col min="2" max="4" width="14" customWidth="1"/>
  </cols>
  <sheetData>
    <row r="1" spans="1:24" s="5" customFormat="1" ht="15">
      <c r="A1" s="4" t="s">
        <v>0</v>
      </c>
    </row>
    <row r="2" spans="1:24" s="5" customFormat="1" ht="15">
      <c r="A2" s="15"/>
    </row>
    <row r="3" spans="1:24" s="5" customFormat="1" ht="15"/>
    <row r="4" spans="1:24" s="5" customFormat="1" ht="15"/>
    <row r="5" spans="1:24" s="5" customFormat="1" ht="15">
      <c r="A5" s="4" t="s">
        <v>1</v>
      </c>
    </row>
    <row r="6" spans="1:24" s="5" customFormat="1" ht="15"/>
    <row r="7" spans="1:24" s="5" customFormat="1" ht="15">
      <c r="A7" s="170" t="s">
        <v>59</v>
      </c>
      <c r="B7" s="170"/>
      <c r="C7" s="170"/>
      <c r="D7" s="170"/>
    </row>
    <row r="9" spans="1:24" ht="15">
      <c r="A9" s="26" t="s">
        <v>134</v>
      </c>
      <c r="B9" s="27">
        <v>2025</v>
      </c>
      <c r="C9" s="27">
        <v>2024</v>
      </c>
      <c r="D9" s="28" t="s">
        <v>170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>
      <c r="A10" s="24" t="s">
        <v>171</v>
      </c>
      <c r="B10" s="29"/>
      <c r="C10" s="29"/>
      <c r="D10" s="3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5" t="s">
        <v>172</v>
      </c>
      <c r="B11" s="31">
        <v>398644</v>
      </c>
      <c r="C11" s="31">
        <v>278153</v>
      </c>
      <c r="D11" s="32">
        <v>0.433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>
      <c r="A12" s="25" t="s">
        <v>173</v>
      </c>
      <c r="B12" s="31"/>
      <c r="C12" s="31">
        <v>4530</v>
      </c>
      <c r="D12" s="32">
        <v>-1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>
      <c r="A13" s="25" t="s">
        <v>174</v>
      </c>
      <c r="B13" s="31">
        <v>989601</v>
      </c>
      <c r="C13" s="31">
        <v>955208</v>
      </c>
      <c r="D13" s="32">
        <v>3.5999999999999997E-2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>
      <c r="A14" s="25" t="s">
        <v>175</v>
      </c>
      <c r="B14" s="31">
        <v>0</v>
      </c>
      <c r="C14" s="31">
        <v>0</v>
      </c>
      <c r="D14" s="32">
        <v>-1.03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>
      <c r="A15" s="25" t="s">
        <v>140</v>
      </c>
      <c r="B15" s="31">
        <v>1478926</v>
      </c>
      <c r="C15" s="31">
        <v>1332578</v>
      </c>
      <c r="D15" s="32">
        <v>0.11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>
      <c r="A16" s="25" t="s">
        <v>176</v>
      </c>
      <c r="B16" s="31">
        <v>168474</v>
      </c>
      <c r="C16" s="31">
        <v>189904</v>
      </c>
      <c r="D16" s="32">
        <v>-0.113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>
      <c r="A17" s="25" t="s">
        <v>177</v>
      </c>
      <c r="B17" s="31">
        <v>28954</v>
      </c>
      <c r="C17" s="31">
        <v>21515</v>
      </c>
      <c r="D17" s="32">
        <v>0.34599999999999997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>
      <c r="A18" s="25" t="s">
        <v>178</v>
      </c>
      <c r="B18" s="31"/>
      <c r="C18" s="31"/>
      <c r="D18" s="3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33" t="s">
        <v>179</v>
      </c>
      <c r="B19" s="34">
        <v>3064600</v>
      </c>
      <c r="C19" s="34">
        <v>2781888</v>
      </c>
      <c r="D19" s="35">
        <v>0.10199999999999999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>
      <c r="A20" s="24" t="s">
        <v>180</v>
      </c>
      <c r="B20" s="29"/>
      <c r="C20" s="29"/>
      <c r="D20" s="3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>
      <c r="A21" s="25" t="s">
        <v>181</v>
      </c>
      <c r="B21" s="31">
        <v>28227</v>
      </c>
      <c r="C21" s="31">
        <v>24779</v>
      </c>
      <c r="D21" s="32">
        <v>0.13900000000000001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>
      <c r="A22" s="25" t="s">
        <v>182</v>
      </c>
      <c r="B22" s="31">
        <v>568589</v>
      </c>
      <c r="C22" s="31">
        <v>429267</v>
      </c>
      <c r="D22" s="32">
        <v>0.32500000000000001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>
      <c r="A23" s="25" t="s">
        <v>178</v>
      </c>
      <c r="B23" s="31"/>
      <c r="C23" s="31">
        <v>1276</v>
      </c>
      <c r="D23" s="3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>
      <c r="A24" s="25" t="s">
        <v>177</v>
      </c>
      <c r="B24" s="31">
        <v>5193</v>
      </c>
      <c r="C24" s="31">
        <v>2879</v>
      </c>
      <c r="D24" s="32">
        <v>0.80400000000000005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>
      <c r="A25" s="25" t="s">
        <v>176</v>
      </c>
      <c r="B25" s="31">
        <v>40799</v>
      </c>
      <c r="C25" s="31">
        <v>113142</v>
      </c>
      <c r="D25" s="32">
        <v>-0.63900000000000001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>
      <c r="A26" s="25" t="s">
        <v>183</v>
      </c>
      <c r="B26" s="31">
        <v>955347</v>
      </c>
      <c r="C26" s="31">
        <v>853172</v>
      </c>
      <c r="D26" s="32">
        <v>0.12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A27" s="25" t="s">
        <v>184</v>
      </c>
      <c r="B27" s="31">
        <v>59938</v>
      </c>
      <c r="C27" s="31">
        <v>67326</v>
      </c>
      <c r="D27" s="32">
        <v>-0.11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>
      <c r="A28" s="33" t="s">
        <v>185</v>
      </c>
      <c r="B28" s="34">
        <v>1658093</v>
      </c>
      <c r="C28" s="34">
        <v>1491842</v>
      </c>
      <c r="D28" s="35">
        <v>0.111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>
      <c r="A29" s="24" t="s">
        <v>186</v>
      </c>
      <c r="B29" s="29">
        <v>4722693</v>
      </c>
      <c r="C29" s="29">
        <v>4273730</v>
      </c>
      <c r="D29" s="30">
        <v>0.105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>
      <c r="A30" s="24" t="s">
        <v>171</v>
      </c>
      <c r="B30" s="29"/>
      <c r="C30" s="29"/>
      <c r="D30" s="3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>
      <c r="A31" s="25" t="s">
        <v>141</v>
      </c>
      <c r="B31" s="31">
        <v>189472</v>
      </c>
      <c r="C31" s="31">
        <v>158736</v>
      </c>
      <c r="D31" s="32">
        <v>0.19400000000000001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>
      <c r="A32" s="25" t="s">
        <v>187</v>
      </c>
      <c r="B32" s="31">
        <v>4610</v>
      </c>
      <c r="C32" s="31">
        <v>214135</v>
      </c>
      <c r="D32" s="32">
        <v>-0.97799999999999998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>
      <c r="A33" s="25" t="s">
        <v>188</v>
      </c>
      <c r="B33" s="31">
        <v>232973</v>
      </c>
      <c r="C33" s="31">
        <v>113370</v>
      </c>
      <c r="D33" s="32">
        <v>1.0549999999999999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>
      <c r="A34" s="25" t="s">
        <v>189</v>
      </c>
      <c r="B34" s="31">
        <v>143620</v>
      </c>
      <c r="C34" s="31">
        <v>125293</v>
      </c>
      <c r="D34" s="32">
        <v>0.14599999999999999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>
      <c r="A35" s="25" t="s">
        <v>190</v>
      </c>
      <c r="B35" s="31">
        <v>123909</v>
      </c>
      <c r="C35" s="31">
        <v>106981</v>
      </c>
      <c r="D35" s="32">
        <v>0.158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>
      <c r="A36" s="25" t="s">
        <v>191</v>
      </c>
      <c r="B36" s="31">
        <v>14487</v>
      </c>
      <c r="C36" s="31">
        <v>14933</v>
      </c>
      <c r="D36" s="32">
        <v>-0.03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>
      <c r="A37" s="25" t="s">
        <v>192</v>
      </c>
      <c r="B37" s="31">
        <v>22729</v>
      </c>
      <c r="C37" s="31"/>
      <c r="D37" s="3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>
      <c r="A38" s="25" t="s">
        <v>193</v>
      </c>
      <c r="B38" s="31">
        <v>83186</v>
      </c>
      <c r="C38" s="31">
        <v>88069</v>
      </c>
      <c r="D38" s="32">
        <v>-5.5E-2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>
      <c r="A39" s="25" t="s">
        <v>194</v>
      </c>
      <c r="B39" s="31"/>
      <c r="C39" s="31">
        <v>2</v>
      </c>
      <c r="D39" s="32">
        <v>-1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>
      <c r="A40" s="25" t="s">
        <v>195</v>
      </c>
      <c r="B40" s="31">
        <v>10</v>
      </c>
      <c r="C40" s="31">
        <v>155186</v>
      </c>
      <c r="D40" s="32">
        <v>-1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>
      <c r="A41" s="25" t="s">
        <v>196</v>
      </c>
      <c r="B41" s="31">
        <v>28951</v>
      </c>
      <c r="C41" s="31">
        <v>18982</v>
      </c>
      <c r="D41" s="32">
        <v>0.52500000000000002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>
      <c r="A42" s="33" t="s">
        <v>197</v>
      </c>
      <c r="B42" s="34">
        <v>843948</v>
      </c>
      <c r="C42" s="34">
        <v>995687</v>
      </c>
      <c r="D42" s="35">
        <v>-0.152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>
      <c r="A43" s="24" t="s">
        <v>180</v>
      </c>
      <c r="B43" s="29"/>
      <c r="C43" s="29"/>
      <c r="D43" s="3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>
      <c r="A44" s="25" t="s">
        <v>188</v>
      </c>
      <c r="B44" s="31">
        <v>298303</v>
      </c>
      <c r="C44" s="31">
        <v>285191</v>
      </c>
      <c r="D44" s="32">
        <v>4.5999999999999999E-2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>
      <c r="A45" s="25" t="s">
        <v>198</v>
      </c>
      <c r="B45" s="31">
        <v>26937</v>
      </c>
      <c r="C45" s="31">
        <v>18317</v>
      </c>
      <c r="D45" s="32">
        <v>0.47099999999999997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>
      <c r="A46" s="25" t="s">
        <v>193</v>
      </c>
      <c r="B46" s="31">
        <v>599518</v>
      </c>
      <c r="C46" s="31">
        <v>472131</v>
      </c>
      <c r="D46" s="32">
        <v>0.27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>
      <c r="A47" s="25" t="s">
        <v>196</v>
      </c>
      <c r="B47" s="31">
        <v>4421</v>
      </c>
      <c r="C47" s="31">
        <v>5462</v>
      </c>
      <c r="D47" s="32">
        <v>-0.191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>
      <c r="A48" s="33" t="s">
        <v>199</v>
      </c>
      <c r="B48" s="34">
        <v>929178</v>
      </c>
      <c r="C48" s="34">
        <v>781101</v>
      </c>
      <c r="D48" s="35">
        <v>0.19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>
      <c r="A49" s="24" t="s">
        <v>200</v>
      </c>
      <c r="B49" s="29"/>
      <c r="C49" s="29"/>
      <c r="D49" s="3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>
      <c r="A50" s="25" t="s">
        <v>201</v>
      </c>
      <c r="B50" s="31">
        <v>2572025</v>
      </c>
      <c r="C50" s="31">
        <v>1705381</v>
      </c>
      <c r="D50" s="32">
        <v>0.50800000000000001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>
      <c r="A51" s="25" t="s">
        <v>202</v>
      </c>
      <c r="B51" s="31">
        <v>-53041</v>
      </c>
      <c r="C51" s="31">
        <v>-53041</v>
      </c>
      <c r="D51" s="32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>
      <c r="A52" s="25" t="s">
        <v>203</v>
      </c>
      <c r="B52" s="31">
        <v>-26818</v>
      </c>
      <c r="C52" s="31">
        <v>-26850</v>
      </c>
      <c r="D52" s="32">
        <v>-1E-3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>
      <c r="A53" s="25" t="s">
        <v>204</v>
      </c>
      <c r="B53" s="31">
        <v>1976</v>
      </c>
      <c r="C53" s="31">
        <v>4346</v>
      </c>
      <c r="D53" s="32">
        <v>-0.54500000000000004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">
      <c r="A54" s="25" t="s">
        <v>205</v>
      </c>
      <c r="B54" s="31">
        <v>-164000</v>
      </c>
      <c r="C54" s="31">
        <v>866640</v>
      </c>
      <c r="D54" s="32">
        <v>-1.1890000000000001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>
      <c r="A55" s="25" t="s">
        <v>206</v>
      </c>
      <c r="B55" s="31">
        <v>619502</v>
      </c>
      <c r="C55" s="31"/>
      <c r="D55" s="3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">
      <c r="A56" s="25" t="s">
        <v>207</v>
      </c>
      <c r="B56" s="31">
        <v>-78</v>
      </c>
      <c r="C56" s="31">
        <v>466</v>
      </c>
      <c r="D56" s="32">
        <v>-1.1679999999999999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>
      <c r="A57" s="33" t="s">
        <v>208</v>
      </c>
      <c r="B57" s="34">
        <v>2949567</v>
      </c>
      <c r="C57" s="34">
        <v>2496942</v>
      </c>
      <c r="D57" s="35">
        <v>0.18099999999999999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>
      <c r="A58" s="24" t="s">
        <v>209</v>
      </c>
      <c r="B58" s="29">
        <v>4722693</v>
      </c>
      <c r="C58" s="29">
        <v>4273730</v>
      </c>
      <c r="D58" s="30">
        <v>0.105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</sheetData>
  <mergeCells count="1">
    <mergeCell ref="A7:D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"/>
  <sheetViews>
    <sheetView showGridLines="0" workbookViewId="0">
      <selection activeCell="A9" sqref="A9"/>
    </sheetView>
  </sheetViews>
  <sheetFormatPr defaultRowHeight="14.25"/>
  <cols>
    <col min="1" max="1" width="34.125" style="93" customWidth="1"/>
    <col min="2" max="14" width="13" style="93" customWidth="1"/>
    <col min="15" max="15" width="9" style="93"/>
    <col min="16" max="16" width="44" style="111" customWidth="1"/>
    <col min="17" max="17" width="12" style="111" customWidth="1"/>
    <col min="18" max="18" width="84.625" style="111" customWidth="1"/>
    <col min="19" max="16384" width="9" style="93"/>
  </cols>
  <sheetData>
    <row r="1" spans="1:18" s="5" customFormat="1" ht="15">
      <c r="A1" s="4" t="s">
        <v>0</v>
      </c>
      <c r="B1" s="4"/>
      <c r="P1" s="110"/>
      <c r="Q1" s="110"/>
      <c r="R1" s="110"/>
    </row>
    <row r="2" spans="1:18" s="5" customFormat="1" ht="15">
      <c r="A2" s="15"/>
      <c r="B2" s="15"/>
      <c r="P2" s="110"/>
      <c r="Q2" s="110"/>
      <c r="R2" s="110"/>
    </row>
    <row r="3" spans="1:18" s="5" customFormat="1" ht="15">
      <c r="P3" s="110"/>
      <c r="Q3" s="110"/>
      <c r="R3" s="110"/>
    </row>
    <row r="4" spans="1:18" s="5" customFormat="1" ht="15">
      <c r="P4" s="110"/>
      <c r="Q4" s="110"/>
      <c r="R4" s="110"/>
    </row>
    <row r="5" spans="1:18" s="5" customFormat="1" ht="15">
      <c r="A5" s="4" t="s">
        <v>1</v>
      </c>
      <c r="B5" s="4"/>
      <c r="P5" s="110"/>
      <c r="Q5" s="110"/>
      <c r="R5" s="110"/>
    </row>
    <row r="6" spans="1:18" s="5" customFormat="1" ht="15">
      <c r="P6" s="110"/>
      <c r="Q6" s="110"/>
      <c r="R6" s="110"/>
    </row>
    <row r="7" spans="1:18" s="5" customFormat="1" ht="15">
      <c r="A7" s="170" t="s">
        <v>210</v>
      </c>
      <c r="B7" s="170"/>
      <c r="C7" s="170"/>
      <c r="D7" s="78"/>
      <c r="E7" s="78"/>
      <c r="P7" s="110"/>
      <c r="Q7" s="110"/>
      <c r="R7" s="110"/>
    </row>
    <row r="8" spans="1:18" ht="15">
      <c r="A8" s="94" t="s">
        <v>211</v>
      </c>
      <c r="B8" s="94" t="s">
        <v>212</v>
      </c>
      <c r="C8" s="94" t="s">
        <v>98</v>
      </c>
      <c r="D8" s="94" t="s">
        <v>99</v>
      </c>
      <c r="E8" s="94" t="s">
        <v>100</v>
      </c>
      <c r="F8" s="94" t="s">
        <v>101</v>
      </c>
      <c r="G8" s="94" t="s">
        <v>102</v>
      </c>
      <c r="H8" s="94" t="s">
        <v>103</v>
      </c>
      <c r="I8" s="94" t="s">
        <v>104</v>
      </c>
      <c r="J8" s="94" t="s">
        <v>105</v>
      </c>
      <c r="K8" s="94" t="s">
        <v>106</v>
      </c>
      <c r="L8" s="94" t="s">
        <v>107</v>
      </c>
      <c r="M8" s="94" t="s">
        <v>108</v>
      </c>
      <c r="N8" s="94" t="s">
        <v>109</v>
      </c>
    </row>
    <row r="9" spans="1:18" ht="15">
      <c r="A9" s="96" t="s">
        <v>211</v>
      </c>
      <c r="B9" s="79" t="s">
        <v>212</v>
      </c>
      <c r="C9" s="122">
        <v>45658</v>
      </c>
      <c r="D9" s="122" t="s">
        <v>316</v>
      </c>
      <c r="E9" s="122">
        <v>45717</v>
      </c>
      <c r="F9" s="122" t="s">
        <v>317</v>
      </c>
      <c r="G9" s="122" t="s">
        <v>318</v>
      </c>
      <c r="H9" s="122">
        <v>45809</v>
      </c>
      <c r="I9" s="122">
        <v>45839</v>
      </c>
      <c r="J9" s="122" t="s">
        <v>319</v>
      </c>
      <c r="K9" s="122" t="s">
        <v>320</v>
      </c>
      <c r="L9" s="122" t="s">
        <v>321</v>
      </c>
      <c r="M9" s="122">
        <v>45962</v>
      </c>
      <c r="N9" s="123" t="s">
        <v>322</v>
      </c>
      <c r="P9" s="112" t="s">
        <v>216</v>
      </c>
      <c r="Q9" s="113" t="s">
        <v>18</v>
      </c>
      <c r="R9" s="100" t="s">
        <v>217</v>
      </c>
    </row>
    <row r="10" spans="1:18" ht="15">
      <c r="A10" s="95" t="s">
        <v>213</v>
      </c>
      <c r="B10" s="97">
        <f>SUM(C10:N10)</f>
        <v>251</v>
      </c>
      <c r="C10" s="97">
        <v>22</v>
      </c>
      <c r="D10" s="97">
        <v>20</v>
      </c>
      <c r="E10" s="97">
        <v>20</v>
      </c>
      <c r="F10" s="97">
        <v>20</v>
      </c>
      <c r="G10" s="97">
        <v>21</v>
      </c>
      <c r="H10" s="97">
        <v>20</v>
      </c>
      <c r="I10" s="97">
        <v>22</v>
      </c>
      <c r="J10" s="97">
        <v>21</v>
      </c>
      <c r="K10" s="97">
        <v>22</v>
      </c>
      <c r="L10" s="97">
        <v>23</v>
      </c>
      <c r="M10" s="97">
        <v>19</v>
      </c>
      <c r="N10" s="98">
        <v>21</v>
      </c>
      <c r="P10" s="114" t="s">
        <v>218</v>
      </c>
      <c r="Q10" s="116" t="s">
        <v>219</v>
      </c>
      <c r="R10" s="115" t="s">
        <v>220</v>
      </c>
    </row>
    <row r="11" spans="1:18" ht="15">
      <c r="A11" s="95" t="s">
        <v>221</v>
      </c>
      <c r="B11" s="97">
        <f>SUM(C11:N11)</f>
        <v>52</v>
      </c>
      <c r="C11" s="97">
        <v>4</v>
      </c>
      <c r="D11" s="97">
        <v>4</v>
      </c>
      <c r="E11" s="97">
        <v>5</v>
      </c>
      <c r="F11" s="97">
        <v>4</v>
      </c>
      <c r="G11" s="97">
        <v>5</v>
      </c>
      <c r="H11" s="97">
        <v>4</v>
      </c>
      <c r="I11" s="97">
        <v>4</v>
      </c>
      <c r="J11" s="97">
        <v>5</v>
      </c>
      <c r="K11" s="97">
        <v>4</v>
      </c>
      <c r="L11" s="97">
        <v>4</v>
      </c>
      <c r="M11" s="97">
        <v>5</v>
      </c>
      <c r="N11" s="98">
        <v>4</v>
      </c>
      <c r="P11" s="114" t="s">
        <v>222</v>
      </c>
      <c r="Q11" s="117">
        <v>0.20300000000000001</v>
      </c>
      <c r="R11" s="115" t="s">
        <v>223</v>
      </c>
    </row>
    <row r="12" spans="1:18" ht="15">
      <c r="A12" s="95" t="s">
        <v>224</v>
      </c>
      <c r="B12" s="97">
        <f>SUM(C12:N12)</f>
        <v>62</v>
      </c>
      <c r="C12" s="97">
        <v>5</v>
      </c>
      <c r="D12" s="97">
        <v>4</v>
      </c>
      <c r="E12" s="97">
        <v>6</v>
      </c>
      <c r="F12" s="97">
        <v>6</v>
      </c>
      <c r="G12" s="97">
        <v>5</v>
      </c>
      <c r="H12" s="97">
        <v>6</v>
      </c>
      <c r="I12" s="97">
        <v>5</v>
      </c>
      <c r="J12" s="97">
        <v>5</v>
      </c>
      <c r="K12" s="97">
        <v>4</v>
      </c>
      <c r="L12" s="97">
        <v>4</v>
      </c>
      <c r="M12" s="97">
        <v>6</v>
      </c>
      <c r="N12" s="98">
        <v>6</v>
      </c>
      <c r="P12" s="114" t="s">
        <v>225</v>
      </c>
      <c r="Q12" s="117">
        <v>0.05</v>
      </c>
      <c r="R12" s="115" t="s">
        <v>226</v>
      </c>
    </row>
    <row r="13" spans="1:18" ht="1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P13" s="114" t="s">
        <v>227</v>
      </c>
      <c r="Q13" s="117">
        <v>0.154</v>
      </c>
      <c r="R13" s="115" t="s">
        <v>228</v>
      </c>
    </row>
    <row r="14" spans="1:18" ht="1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P14" s="114" t="s">
        <v>229</v>
      </c>
      <c r="Q14" s="118">
        <v>8986142.3220973779</v>
      </c>
      <c r="R14" s="115" t="s">
        <v>230</v>
      </c>
    </row>
    <row r="15" spans="1:18" ht="15">
      <c r="A15" s="107" t="s">
        <v>231</v>
      </c>
      <c r="B15" s="101" t="s">
        <v>65</v>
      </c>
      <c r="C15" s="122">
        <v>45658</v>
      </c>
      <c r="D15" s="122" t="s">
        <v>316</v>
      </c>
      <c r="E15" s="122">
        <v>45717</v>
      </c>
      <c r="F15" s="122" t="s">
        <v>317</v>
      </c>
      <c r="G15" s="122" t="s">
        <v>318</v>
      </c>
      <c r="H15" s="122">
        <v>45809</v>
      </c>
      <c r="I15" s="122">
        <v>45839</v>
      </c>
      <c r="J15" s="122" t="s">
        <v>319</v>
      </c>
      <c r="K15" s="122" t="s">
        <v>320</v>
      </c>
      <c r="L15" s="122" t="s">
        <v>321</v>
      </c>
      <c r="M15" s="122">
        <v>45962</v>
      </c>
      <c r="N15" s="123" t="s">
        <v>322</v>
      </c>
      <c r="P15" s="114" t="s">
        <v>232</v>
      </c>
      <c r="Q15" s="118">
        <f>B20</f>
        <v>10138100</v>
      </c>
      <c r="R15" s="115" t="s">
        <v>233</v>
      </c>
    </row>
    <row r="16" spans="1:18" s="111" customFormat="1" ht="15">
      <c r="A16" s="95" t="s">
        <v>214</v>
      </c>
      <c r="B16" s="103">
        <f>SUM(C16:N16)</f>
        <v>5195700</v>
      </c>
      <c r="C16" s="103">
        <f t="shared" ref="C16:N16" si="0">C10*$E$24</f>
        <v>455400</v>
      </c>
      <c r="D16" s="103">
        <f t="shared" si="0"/>
        <v>414000</v>
      </c>
      <c r="E16" s="103">
        <f t="shared" si="0"/>
        <v>414000</v>
      </c>
      <c r="F16" s="103">
        <f t="shared" si="0"/>
        <v>414000</v>
      </c>
      <c r="G16" s="103">
        <f t="shared" si="0"/>
        <v>434700</v>
      </c>
      <c r="H16" s="103">
        <f t="shared" si="0"/>
        <v>414000</v>
      </c>
      <c r="I16" s="103">
        <f t="shared" si="0"/>
        <v>455400</v>
      </c>
      <c r="J16" s="103">
        <f t="shared" si="0"/>
        <v>434700</v>
      </c>
      <c r="K16" s="103">
        <f t="shared" si="0"/>
        <v>455400</v>
      </c>
      <c r="L16" s="103">
        <f t="shared" si="0"/>
        <v>476100</v>
      </c>
      <c r="M16" s="103">
        <f t="shared" si="0"/>
        <v>393300</v>
      </c>
      <c r="N16" s="104">
        <f t="shared" si="0"/>
        <v>434700</v>
      </c>
      <c r="O16" s="93"/>
    </row>
    <row r="17" spans="1:14" ht="15">
      <c r="A17" s="95" t="s">
        <v>234</v>
      </c>
      <c r="B17" s="103">
        <f>SUM(C17:N17)</f>
        <v>3380000</v>
      </c>
      <c r="C17" s="103">
        <f t="shared" ref="C17:N17" si="1">C11*$E$25</f>
        <v>260000</v>
      </c>
      <c r="D17" s="103">
        <f t="shared" si="1"/>
        <v>260000</v>
      </c>
      <c r="E17" s="103">
        <f t="shared" si="1"/>
        <v>325000</v>
      </c>
      <c r="F17" s="103">
        <f t="shared" si="1"/>
        <v>260000</v>
      </c>
      <c r="G17" s="103">
        <f t="shared" si="1"/>
        <v>325000</v>
      </c>
      <c r="H17" s="103">
        <f t="shared" si="1"/>
        <v>260000</v>
      </c>
      <c r="I17" s="103">
        <f t="shared" si="1"/>
        <v>260000</v>
      </c>
      <c r="J17" s="103">
        <f t="shared" si="1"/>
        <v>325000</v>
      </c>
      <c r="K17" s="103">
        <f t="shared" si="1"/>
        <v>260000</v>
      </c>
      <c r="L17" s="103">
        <f t="shared" si="1"/>
        <v>260000</v>
      </c>
      <c r="M17" s="103">
        <f t="shared" si="1"/>
        <v>325000</v>
      </c>
      <c r="N17" s="104">
        <f t="shared" si="1"/>
        <v>260000</v>
      </c>
    </row>
    <row r="18" spans="1:14" ht="15">
      <c r="A18" s="95" t="s">
        <v>235</v>
      </c>
      <c r="B18" s="103">
        <f>SUM(C18:N18)</f>
        <v>1562400</v>
      </c>
      <c r="C18" s="103">
        <f t="shared" ref="C18:N18" si="2">C12*$E$26</f>
        <v>126000</v>
      </c>
      <c r="D18" s="103">
        <f t="shared" si="2"/>
        <v>100800</v>
      </c>
      <c r="E18" s="103">
        <f t="shared" si="2"/>
        <v>151200</v>
      </c>
      <c r="F18" s="103">
        <f t="shared" si="2"/>
        <v>151200</v>
      </c>
      <c r="G18" s="103">
        <f t="shared" si="2"/>
        <v>126000</v>
      </c>
      <c r="H18" s="103">
        <f t="shared" si="2"/>
        <v>151200</v>
      </c>
      <c r="I18" s="103">
        <f t="shared" si="2"/>
        <v>126000</v>
      </c>
      <c r="J18" s="103">
        <f t="shared" si="2"/>
        <v>126000</v>
      </c>
      <c r="K18" s="103">
        <f t="shared" si="2"/>
        <v>100800</v>
      </c>
      <c r="L18" s="103">
        <f t="shared" si="2"/>
        <v>100800</v>
      </c>
      <c r="M18" s="103">
        <f t="shared" si="2"/>
        <v>151200</v>
      </c>
      <c r="N18" s="104">
        <f t="shared" si="2"/>
        <v>151200</v>
      </c>
    </row>
    <row r="19" spans="1:14" ht="15">
      <c r="A19" s="95" t="s">
        <v>236</v>
      </c>
      <c r="B19" s="103">
        <f>SUM(C19:N19)</f>
        <v>4942400</v>
      </c>
      <c r="C19" s="103">
        <f t="shared" ref="C19:N19" si="3">C17+C18</f>
        <v>386000</v>
      </c>
      <c r="D19" s="103">
        <f t="shared" si="3"/>
        <v>360800</v>
      </c>
      <c r="E19" s="103">
        <f t="shared" si="3"/>
        <v>476200</v>
      </c>
      <c r="F19" s="103">
        <f t="shared" si="3"/>
        <v>411200</v>
      </c>
      <c r="G19" s="103">
        <f t="shared" si="3"/>
        <v>451000</v>
      </c>
      <c r="H19" s="103">
        <f t="shared" si="3"/>
        <v>411200</v>
      </c>
      <c r="I19" s="103">
        <f t="shared" si="3"/>
        <v>386000</v>
      </c>
      <c r="J19" s="103">
        <f t="shared" si="3"/>
        <v>451000</v>
      </c>
      <c r="K19" s="103">
        <f t="shared" si="3"/>
        <v>360800</v>
      </c>
      <c r="L19" s="103">
        <f t="shared" si="3"/>
        <v>360800</v>
      </c>
      <c r="M19" s="103">
        <f t="shared" si="3"/>
        <v>476200</v>
      </c>
      <c r="N19" s="104">
        <f t="shared" si="3"/>
        <v>411200</v>
      </c>
    </row>
    <row r="20" spans="1:14" ht="15">
      <c r="A20" s="95" t="s">
        <v>237</v>
      </c>
      <c r="B20" s="105">
        <f>SUM(C20:N20)</f>
        <v>10138100</v>
      </c>
      <c r="C20" s="105">
        <f t="shared" ref="C20:N20" si="4">C16+C19</f>
        <v>841400</v>
      </c>
      <c r="D20" s="105">
        <f t="shared" si="4"/>
        <v>774800</v>
      </c>
      <c r="E20" s="105">
        <f t="shared" si="4"/>
        <v>890200</v>
      </c>
      <c r="F20" s="105">
        <f t="shared" si="4"/>
        <v>825200</v>
      </c>
      <c r="G20" s="105">
        <f t="shared" si="4"/>
        <v>885700</v>
      </c>
      <c r="H20" s="105">
        <f t="shared" si="4"/>
        <v>825200</v>
      </c>
      <c r="I20" s="105">
        <f t="shared" si="4"/>
        <v>841400</v>
      </c>
      <c r="J20" s="105">
        <f t="shared" si="4"/>
        <v>885700</v>
      </c>
      <c r="K20" s="105">
        <f t="shared" si="4"/>
        <v>816200</v>
      </c>
      <c r="L20" s="105">
        <f t="shared" si="4"/>
        <v>836900</v>
      </c>
      <c r="M20" s="105">
        <f t="shared" si="4"/>
        <v>869500</v>
      </c>
      <c r="N20" s="106">
        <f t="shared" si="4"/>
        <v>845900</v>
      </c>
    </row>
    <row r="21" spans="1:14" ht="1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</row>
    <row r="22" spans="1:14" ht="1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</row>
    <row r="23" spans="1:14" ht="15" customHeight="1">
      <c r="A23" s="99" t="s">
        <v>238</v>
      </c>
      <c r="B23" s="101" t="s">
        <v>239</v>
      </c>
      <c r="C23" s="101" t="s">
        <v>240</v>
      </c>
      <c r="D23" s="101" t="s">
        <v>241</v>
      </c>
      <c r="E23" s="102" t="s">
        <v>242</v>
      </c>
      <c r="F23" s="92"/>
      <c r="G23" s="92"/>
      <c r="H23" s="92"/>
      <c r="I23" s="92"/>
      <c r="J23" s="92"/>
      <c r="K23" s="92"/>
      <c r="L23" s="92"/>
      <c r="M23" s="92"/>
      <c r="N23" s="92"/>
    </row>
    <row r="24" spans="1:14" ht="15">
      <c r="A24" s="95" t="s">
        <v>243</v>
      </c>
      <c r="B24" s="97">
        <v>1200</v>
      </c>
      <c r="C24" s="108">
        <v>1.4999999999999999E-2</v>
      </c>
      <c r="D24" s="103">
        <v>1150</v>
      </c>
      <c r="E24" s="104">
        <f>B24*C24*D24</f>
        <v>20700</v>
      </c>
      <c r="F24" s="92"/>
      <c r="G24" s="92"/>
      <c r="H24" s="92"/>
      <c r="I24" s="92"/>
      <c r="J24" s="92"/>
      <c r="K24" s="92"/>
      <c r="L24" s="92"/>
      <c r="M24" s="92"/>
      <c r="N24" s="92"/>
    </row>
    <row r="25" spans="1:14" ht="15">
      <c r="A25" s="95" t="s">
        <v>244</v>
      </c>
      <c r="B25" s="97">
        <v>2500</v>
      </c>
      <c r="C25" s="108">
        <v>0.02</v>
      </c>
      <c r="D25" s="103">
        <v>1300</v>
      </c>
      <c r="E25" s="104">
        <f>B25*C25*D25</f>
        <v>65000</v>
      </c>
      <c r="F25" s="92"/>
      <c r="G25" s="92"/>
      <c r="H25" s="92"/>
      <c r="I25" s="92"/>
      <c r="J25" s="92"/>
      <c r="K25" s="92"/>
      <c r="L25" s="92"/>
      <c r="M25" s="92"/>
      <c r="N25" s="92"/>
    </row>
    <row r="26" spans="1:14" ht="15">
      <c r="A26" s="95" t="s">
        <v>245</v>
      </c>
      <c r="B26" s="97">
        <v>2000</v>
      </c>
      <c r="C26" s="108">
        <v>1.2E-2</v>
      </c>
      <c r="D26" s="103">
        <v>1050</v>
      </c>
      <c r="E26" s="104">
        <f>B26*C26*D26</f>
        <v>25200</v>
      </c>
      <c r="F26" s="92"/>
      <c r="G26" s="92"/>
      <c r="H26" s="92"/>
      <c r="I26" s="92"/>
      <c r="J26" s="92"/>
      <c r="K26" s="92"/>
      <c r="L26" s="92"/>
      <c r="M26" s="92"/>
      <c r="N26" s="92"/>
    </row>
    <row r="27" spans="1:14" ht="1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</row>
    <row r="28" spans="1:14" ht="1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</row>
    <row r="29" spans="1:14" ht="15">
      <c r="A29" s="107" t="s">
        <v>246</v>
      </c>
      <c r="B29" s="101" t="s">
        <v>247</v>
      </c>
      <c r="C29" s="122">
        <v>45658</v>
      </c>
      <c r="D29" s="122" t="s">
        <v>316</v>
      </c>
      <c r="E29" s="122">
        <v>45717</v>
      </c>
      <c r="F29" s="122" t="s">
        <v>317</v>
      </c>
      <c r="G29" s="122" t="s">
        <v>318</v>
      </c>
      <c r="H29" s="122">
        <v>45809</v>
      </c>
      <c r="I29" s="122">
        <v>45839</v>
      </c>
      <c r="J29" s="122" t="s">
        <v>319</v>
      </c>
      <c r="K29" s="122" t="s">
        <v>320</v>
      </c>
      <c r="L29" s="122" t="s">
        <v>321</v>
      </c>
      <c r="M29" s="122">
        <v>45962</v>
      </c>
      <c r="N29" s="123" t="s">
        <v>322</v>
      </c>
    </row>
    <row r="30" spans="1:14" ht="15">
      <c r="A30" s="95" t="s">
        <v>248</v>
      </c>
      <c r="B30" s="97">
        <f>SUM(C30:N30)</f>
        <v>301200</v>
      </c>
      <c r="C30" s="97">
        <f t="shared" ref="C30:N30" si="5">C10*$B$24</f>
        <v>26400</v>
      </c>
      <c r="D30" s="97">
        <f t="shared" si="5"/>
        <v>24000</v>
      </c>
      <c r="E30" s="97">
        <f t="shared" si="5"/>
        <v>24000</v>
      </c>
      <c r="F30" s="97">
        <f t="shared" si="5"/>
        <v>24000</v>
      </c>
      <c r="G30" s="97">
        <f t="shared" si="5"/>
        <v>25200</v>
      </c>
      <c r="H30" s="97">
        <f t="shared" si="5"/>
        <v>24000</v>
      </c>
      <c r="I30" s="97">
        <f t="shared" si="5"/>
        <v>26400</v>
      </c>
      <c r="J30" s="97">
        <f t="shared" si="5"/>
        <v>25200</v>
      </c>
      <c r="K30" s="97">
        <f t="shared" si="5"/>
        <v>26400</v>
      </c>
      <c r="L30" s="97">
        <f t="shared" si="5"/>
        <v>27600</v>
      </c>
      <c r="M30" s="97">
        <f t="shared" si="5"/>
        <v>22800</v>
      </c>
      <c r="N30" s="98">
        <f t="shared" si="5"/>
        <v>25200</v>
      </c>
    </row>
    <row r="31" spans="1:14" ht="15">
      <c r="A31" s="95" t="s">
        <v>249</v>
      </c>
      <c r="B31" s="97">
        <f>SUM(C31:N31)</f>
        <v>130000</v>
      </c>
      <c r="C31" s="97">
        <f t="shared" ref="C31:N31" si="6">C11*$B$25</f>
        <v>10000</v>
      </c>
      <c r="D31" s="97">
        <f t="shared" si="6"/>
        <v>10000</v>
      </c>
      <c r="E31" s="97">
        <f t="shared" si="6"/>
        <v>12500</v>
      </c>
      <c r="F31" s="97">
        <f t="shared" si="6"/>
        <v>10000</v>
      </c>
      <c r="G31" s="97">
        <f t="shared" si="6"/>
        <v>12500</v>
      </c>
      <c r="H31" s="97">
        <f t="shared" si="6"/>
        <v>10000</v>
      </c>
      <c r="I31" s="97">
        <f t="shared" si="6"/>
        <v>10000</v>
      </c>
      <c r="J31" s="97">
        <f t="shared" si="6"/>
        <v>12500</v>
      </c>
      <c r="K31" s="97">
        <f t="shared" si="6"/>
        <v>10000</v>
      </c>
      <c r="L31" s="97">
        <f t="shared" si="6"/>
        <v>10000</v>
      </c>
      <c r="M31" s="97">
        <f t="shared" si="6"/>
        <v>12500</v>
      </c>
      <c r="N31" s="98">
        <f t="shared" si="6"/>
        <v>10000</v>
      </c>
    </row>
    <row r="32" spans="1:14" ht="15">
      <c r="A32" s="95" t="s">
        <v>250</v>
      </c>
      <c r="B32" s="97">
        <f>SUM(C32:N32)</f>
        <v>124000</v>
      </c>
      <c r="C32" s="97">
        <f t="shared" ref="C32:N32" si="7">C12*$B$26</f>
        <v>10000</v>
      </c>
      <c r="D32" s="97">
        <f t="shared" si="7"/>
        <v>8000</v>
      </c>
      <c r="E32" s="97">
        <f t="shared" si="7"/>
        <v>12000</v>
      </c>
      <c r="F32" s="97">
        <f t="shared" si="7"/>
        <v>12000</v>
      </c>
      <c r="G32" s="97">
        <f t="shared" si="7"/>
        <v>10000</v>
      </c>
      <c r="H32" s="97">
        <f t="shared" si="7"/>
        <v>12000</v>
      </c>
      <c r="I32" s="97">
        <f t="shared" si="7"/>
        <v>10000</v>
      </c>
      <c r="J32" s="97">
        <f t="shared" si="7"/>
        <v>10000</v>
      </c>
      <c r="K32" s="97">
        <f t="shared" si="7"/>
        <v>8000</v>
      </c>
      <c r="L32" s="97">
        <f t="shared" si="7"/>
        <v>8000</v>
      </c>
      <c r="M32" s="97">
        <f t="shared" si="7"/>
        <v>12000</v>
      </c>
      <c r="N32" s="98">
        <f t="shared" si="7"/>
        <v>12000</v>
      </c>
    </row>
    <row r="33" spans="1:14" ht="15">
      <c r="A33" s="95" t="s">
        <v>215</v>
      </c>
      <c r="B33" s="108">
        <v>1.4999999999999999E-2</v>
      </c>
      <c r="C33" s="108">
        <v>1.4999999999999999E-2</v>
      </c>
      <c r="D33" s="108">
        <v>1.4999999999999999E-2</v>
      </c>
      <c r="E33" s="108">
        <v>1.4999999999999999E-2</v>
      </c>
      <c r="F33" s="108">
        <v>1.4999999999999999E-2</v>
      </c>
      <c r="G33" s="108">
        <v>1.4999999999999999E-2</v>
      </c>
      <c r="H33" s="108">
        <v>1.4999999999999999E-2</v>
      </c>
      <c r="I33" s="108">
        <v>1.4999999999999999E-2</v>
      </c>
      <c r="J33" s="108">
        <v>1.4999999999999999E-2</v>
      </c>
      <c r="K33" s="108">
        <v>1.4999999999999999E-2</v>
      </c>
      <c r="L33" s="108">
        <v>1.4999999999999999E-2</v>
      </c>
      <c r="M33" s="108">
        <v>1.4999999999999999E-2</v>
      </c>
      <c r="N33" s="109">
        <v>1.4999999999999999E-2</v>
      </c>
    </row>
    <row r="34" spans="1:14" ht="15">
      <c r="A34" s="95" t="s">
        <v>251</v>
      </c>
      <c r="B34" s="108">
        <v>0.02</v>
      </c>
      <c r="C34" s="108">
        <v>0.02</v>
      </c>
      <c r="D34" s="108">
        <v>0.02</v>
      </c>
      <c r="E34" s="108">
        <v>0.02</v>
      </c>
      <c r="F34" s="108">
        <v>0.02</v>
      </c>
      <c r="G34" s="108">
        <v>0.02</v>
      </c>
      <c r="H34" s="108">
        <v>0.02</v>
      </c>
      <c r="I34" s="108">
        <v>0.02</v>
      </c>
      <c r="J34" s="108">
        <v>0.02</v>
      </c>
      <c r="K34" s="108">
        <v>0.02</v>
      </c>
      <c r="L34" s="108">
        <v>0.02</v>
      </c>
      <c r="M34" s="108">
        <v>0.02</v>
      </c>
      <c r="N34" s="109">
        <v>0.02</v>
      </c>
    </row>
    <row r="35" spans="1:14" ht="15">
      <c r="A35" s="95" t="s">
        <v>252</v>
      </c>
      <c r="B35" s="108">
        <v>1.2E-2</v>
      </c>
      <c r="C35" s="108">
        <v>1.2E-2</v>
      </c>
      <c r="D35" s="108">
        <v>1.2E-2</v>
      </c>
      <c r="E35" s="108">
        <v>1.2E-2</v>
      </c>
      <c r="F35" s="108">
        <v>1.2E-2</v>
      </c>
      <c r="G35" s="108">
        <v>1.2E-2</v>
      </c>
      <c r="H35" s="108">
        <v>1.2E-2</v>
      </c>
      <c r="I35" s="108">
        <v>1.2E-2</v>
      </c>
      <c r="J35" s="108">
        <v>1.2E-2</v>
      </c>
      <c r="K35" s="108">
        <v>1.2E-2</v>
      </c>
      <c r="L35" s="108">
        <v>1.2E-2</v>
      </c>
      <c r="M35" s="108">
        <v>1.2E-2</v>
      </c>
      <c r="N35" s="109">
        <v>1.2E-2</v>
      </c>
    </row>
    <row r="36" spans="1:14" ht="15">
      <c r="A36" s="95" t="s">
        <v>253</v>
      </c>
      <c r="B36" s="103">
        <v>1150</v>
      </c>
      <c r="C36" s="103">
        <v>1150</v>
      </c>
      <c r="D36" s="103">
        <v>1150</v>
      </c>
      <c r="E36" s="103">
        <v>1150</v>
      </c>
      <c r="F36" s="103">
        <v>1150</v>
      </c>
      <c r="G36" s="103">
        <v>1150</v>
      </c>
      <c r="H36" s="103">
        <v>1150</v>
      </c>
      <c r="I36" s="103">
        <v>1150</v>
      </c>
      <c r="J36" s="103">
        <v>1150</v>
      </c>
      <c r="K36" s="103">
        <v>1150</v>
      </c>
      <c r="L36" s="103">
        <v>1150</v>
      </c>
      <c r="M36" s="103">
        <v>1150</v>
      </c>
      <c r="N36" s="104">
        <v>1150</v>
      </c>
    </row>
    <row r="37" spans="1:14" ht="15">
      <c r="A37" s="95" t="s">
        <v>254</v>
      </c>
      <c r="B37" s="103">
        <v>1300</v>
      </c>
      <c r="C37" s="103">
        <v>1300</v>
      </c>
      <c r="D37" s="103">
        <v>1300</v>
      </c>
      <c r="E37" s="103">
        <v>1300</v>
      </c>
      <c r="F37" s="103">
        <v>1300</v>
      </c>
      <c r="G37" s="103">
        <v>1300</v>
      </c>
      <c r="H37" s="103">
        <v>1300</v>
      </c>
      <c r="I37" s="103">
        <v>1300</v>
      </c>
      <c r="J37" s="103">
        <v>1300</v>
      </c>
      <c r="K37" s="103">
        <v>1300</v>
      </c>
      <c r="L37" s="103">
        <v>1300</v>
      </c>
      <c r="M37" s="103">
        <v>1300</v>
      </c>
      <c r="N37" s="104">
        <v>1300</v>
      </c>
    </row>
    <row r="38" spans="1:14" ht="15">
      <c r="A38" s="95" t="s">
        <v>255</v>
      </c>
      <c r="B38" s="103">
        <v>1050</v>
      </c>
      <c r="C38" s="103">
        <v>1050</v>
      </c>
      <c r="D38" s="103">
        <v>1050</v>
      </c>
      <c r="E38" s="103">
        <v>1050</v>
      </c>
      <c r="F38" s="103">
        <v>1050</v>
      </c>
      <c r="G38" s="103">
        <v>1050</v>
      </c>
      <c r="H38" s="103">
        <v>1050</v>
      </c>
      <c r="I38" s="103">
        <v>1050</v>
      </c>
      <c r="J38" s="103">
        <v>1050</v>
      </c>
      <c r="K38" s="103">
        <v>1050</v>
      </c>
      <c r="L38" s="103">
        <v>1050</v>
      </c>
      <c r="M38" s="103">
        <v>1050</v>
      </c>
      <c r="N38" s="104">
        <v>1050</v>
      </c>
    </row>
    <row r="39" spans="1:14" ht="15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</row>
    <row r="40" spans="1:14" ht="15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</row>
    <row r="41" spans="1:14" ht="15">
      <c r="A41" s="94" t="s">
        <v>256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1:14" ht="1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spans="1:14" ht="15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</row>
  </sheetData>
  <mergeCells count="1">
    <mergeCell ref="A7:C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7"/>
  <sheetViews>
    <sheetView showGridLines="0" topLeftCell="B37" workbookViewId="0">
      <selection activeCell="B57" sqref="B57:M57"/>
    </sheetView>
  </sheetViews>
  <sheetFormatPr defaultColWidth="12.625" defaultRowHeight="15"/>
  <cols>
    <col min="1" max="1" width="35" style="138" customWidth="1"/>
    <col min="2" max="13" width="12" style="128" customWidth="1"/>
    <col min="14" max="25" width="7.625" style="119" customWidth="1"/>
    <col min="26" max="16384" width="12.625" style="119"/>
  </cols>
  <sheetData>
    <row r="1" spans="1:17" s="120" customFormat="1">
      <c r="A1" s="13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O1" s="121"/>
      <c r="P1" s="121"/>
      <c r="Q1" s="121"/>
    </row>
    <row r="2" spans="1:17" s="120" customFormat="1">
      <c r="A2" s="13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O2" s="121"/>
      <c r="P2" s="121"/>
      <c r="Q2" s="121"/>
    </row>
    <row r="3" spans="1:17" s="120" customFormat="1">
      <c r="A3" s="13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O3" s="121"/>
      <c r="P3" s="121"/>
      <c r="Q3" s="121"/>
    </row>
    <row r="4" spans="1:17" s="120" customFormat="1">
      <c r="A4" s="13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O4" s="121"/>
      <c r="P4" s="121"/>
      <c r="Q4" s="121"/>
    </row>
    <row r="5" spans="1:17" s="120" customFormat="1">
      <c r="A5" s="133" t="s">
        <v>1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O5" s="121"/>
      <c r="P5" s="121"/>
      <c r="Q5" s="121"/>
    </row>
    <row r="6" spans="1:17" s="120" customFormat="1">
      <c r="A6" s="133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O6" s="121"/>
      <c r="P6" s="121"/>
      <c r="Q6" s="121"/>
    </row>
    <row r="7" spans="1:17" s="120" customFormat="1">
      <c r="A7" s="172" t="s">
        <v>267</v>
      </c>
      <c r="B7" s="172"/>
      <c r="C7" s="172"/>
      <c r="D7" s="125"/>
      <c r="E7" s="124"/>
      <c r="F7" s="124"/>
      <c r="G7" s="124"/>
      <c r="H7" s="124"/>
      <c r="I7" s="124"/>
      <c r="J7" s="124"/>
      <c r="K7" s="124"/>
      <c r="L7" s="124"/>
      <c r="M7" s="124"/>
      <c r="O7" s="121"/>
      <c r="P7" s="121"/>
      <c r="Q7" s="121"/>
    </row>
    <row r="8" spans="1:17" s="120" customFormat="1">
      <c r="A8" s="135"/>
      <c r="B8" s="125"/>
      <c r="C8" s="125"/>
      <c r="D8" s="125"/>
      <c r="E8" s="124"/>
      <c r="F8" s="124"/>
      <c r="G8" s="124"/>
      <c r="H8" s="124"/>
      <c r="I8" s="124"/>
      <c r="J8" s="124"/>
      <c r="K8" s="124"/>
      <c r="L8" s="124"/>
      <c r="M8" s="124"/>
      <c r="O8" s="121"/>
      <c r="P8" s="121"/>
      <c r="Q8" s="121"/>
    </row>
    <row r="9" spans="1:17">
      <c r="A9" s="176" t="s">
        <v>268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</row>
    <row r="10" spans="1:17">
      <c r="A10" s="136" t="s">
        <v>257</v>
      </c>
      <c r="B10" s="122">
        <v>46023</v>
      </c>
      <c r="C10" s="122" t="s">
        <v>279</v>
      </c>
      <c r="D10" s="122">
        <v>46082</v>
      </c>
      <c r="E10" s="122" t="s">
        <v>280</v>
      </c>
      <c r="F10" s="122" t="s">
        <v>281</v>
      </c>
      <c r="G10" s="122">
        <v>46174</v>
      </c>
      <c r="H10" s="122">
        <v>46204</v>
      </c>
      <c r="I10" s="122" t="s">
        <v>282</v>
      </c>
      <c r="J10" s="122" t="s">
        <v>283</v>
      </c>
      <c r="K10" s="122" t="s">
        <v>284</v>
      </c>
      <c r="L10" s="122">
        <v>46327</v>
      </c>
      <c r="M10" s="123" t="s">
        <v>285</v>
      </c>
    </row>
    <row r="11" spans="1:17">
      <c r="A11" s="137" t="s">
        <v>258</v>
      </c>
      <c r="B11" s="126">
        <v>95000</v>
      </c>
      <c r="C11" s="126">
        <v>95000</v>
      </c>
      <c r="D11" s="126">
        <v>95000</v>
      </c>
      <c r="E11" s="126">
        <v>95000</v>
      </c>
      <c r="F11" s="126">
        <v>95000</v>
      </c>
      <c r="G11" s="126">
        <v>95000</v>
      </c>
      <c r="H11" s="126">
        <v>95000</v>
      </c>
      <c r="I11" s="126">
        <v>95000</v>
      </c>
      <c r="J11" s="126">
        <v>95000</v>
      </c>
      <c r="K11" s="126">
        <v>95000</v>
      </c>
      <c r="L11" s="126">
        <v>95000</v>
      </c>
      <c r="M11" s="127">
        <v>95000</v>
      </c>
    </row>
    <row r="12" spans="1:17">
      <c r="A12" s="137" t="s">
        <v>259</v>
      </c>
      <c r="B12" s="126">
        <v>12000</v>
      </c>
      <c r="C12" s="126">
        <v>12000</v>
      </c>
      <c r="D12" s="126">
        <v>12000</v>
      </c>
      <c r="E12" s="126">
        <v>12000</v>
      </c>
      <c r="F12" s="126">
        <v>12000</v>
      </c>
      <c r="G12" s="126">
        <v>12000</v>
      </c>
      <c r="H12" s="126">
        <v>12000</v>
      </c>
      <c r="I12" s="126">
        <v>12000</v>
      </c>
      <c r="J12" s="126">
        <v>12000</v>
      </c>
      <c r="K12" s="126">
        <v>12000</v>
      </c>
      <c r="L12" s="126">
        <v>12000</v>
      </c>
      <c r="M12" s="127">
        <v>12000</v>
      </c>
    </row>
    <row r="13" spans="1:17">
      <c r="A13" s="137" t="s">
        <v>260</v>
      </c>
      <c r="B13" s="126">
        <v>7500</v>
      </c>
      <c r="C13" s="126">
        <v>7500</v>
      </c>
      <c r="D13" s="126">
        <v>7500</v>
      </c>
      <c r="E13" s="126">
        <v>7500</v>
      </c>
      <c r="F13" s="126">
        <v>7500</v>
      </c>
      <c r="G13" s="126">
        <v>7500</v>
      </c>
      <c r="H13" s="126">
        <v>7500</v>
      </c>
      <c r="I13" s="126">
        <v>7500</v>
      </c>
      <c r="J13" s="126">
        <v>7500</v>
      </c>
      <c r="K13" s="126">
        <v>7500</v>
      </c>
      <c r="L13" s="126">
        <v>7500</v>
      </c>
      <c r="M13" s="127">
        <v>7500</v>
      </c>
    </row>
    <row r="14" spans="1:17">
      <c r="A14" s="137" t="s">
        <v>261</v>
      </c>
      <c r="B14" s="126">
        <v>25000</v>
      </c>
      <c r="C14" s="126">
        <v>25000</v>
      </c>
      <c r="D14" s="126">
        <v>25000</v>
      </c>
      <c r="E14" s="126">
        <v>25000</v>
      </c>
      <c r="F14" s="126">
        <v>25000</v>
      </c>
      <c r="G14" s="126">
        <v>25000</v>
      </c>
      <c r="H14" s="126">
        <v>25000</v>
      </c>
      <c r="I14" s="126">
        <v>25000</v>
      </c>
      <c r="J14" s="126">
        <v>25000</v>
      </c>
      <c r="K14" s="126">
        <v>25000</v>
      </c>
      <c r="L14" s="126">
        <v>25000</v>
      </c>
      <c r="M14" s="127">
        <v>25000</v>
      </c>
    </row>
    <row r="15" spans="1:17">
      <c r="A15" s="142" t="s">
        <v>262</v>
      </c>
      <c r="B15" s="144">
        <f t="shared" ref="B15:M15" si="0">SUM(B11:B14)</f>
        <v>139500</v>
      </c>
      <c r="C15" s="144">
        <f t="shared" si="0"/>
        <v>139500</v>
      </c>
      <c r="D15" s="144">
        <f t="shared" si="0"/>
        <v>139500</v>
      </c>
      <c r="E15" s="144">
        <f t="shared" si="0"/>
        <v>139500</v>
      </c>
      <c r="F15" s="144">
        <f t="shared" si="0"/>
        <v>139500</v>
      </c>
      <c r="G15" s="144">
        <f t="shared" si="0"/>
        <v>139500</v>
      </c>
      <c r="H15" s="144">
        <f t="shared" si="0"/>
        <v>139500</v>
      </c>
      <c r="I15" s="144">
        <f t="shared" si="0"/>
        <v>139500</v>
      </c>
      <c r="J15" s="144">
        <f t="shared" si="0"/>
        <v>139500</v>
      </c>
      <c r="K15" s="144">
        <f t="shared" si="0"/>
        <v>139500</v>
      </c>
      <c r="L15" s="144">
        <f t="shared" si="0"/>
        <v>139500</v>
      </c>
      <c r="M15" s="145">
        <f t="shared" si="0"/>
        <v>139500</v>
      </c>
    </row>
    <row r="18" spans="1:13">
      <c r="A18" s="176" t="s">
        <v>269</v>
      </c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1:13">
      <c r="A19" s="136" t="s">
        <v>257</v>
      </c>
      <c r="B19" s="122">
        <v>46388</v>
      </c>
      <c r="C19" s="122" t="s">
        <v>286</v>
      </c>
      <c r="D19" s="122">
        <v>46447</v>
      </c>
      <c r="E19" s="122" t="s">
        <v>287</v>
      </c>
      <c r="F19" s="122" t="s">
        <v>288</v>
      </c>
      <c r="G19" s="122">
        <v>46539</v>
      </c>
      <c r="H19" s="122">
        <v>46569</v>
      </c>
      <c r="I19" s="122" t="s">
        <v>289</v>
      </c>
      <c r="J19" s="122" t="s">
        <v>290</v>
      </c>
      <c r="K19" s="122" t="s">
        <v>291</v>
      </c>
      <c r="L19" s="122">
        <v>46692</v>
      </c>
      <c r="M19" s="123" t="s">
        <v>292</v>
      </c>
    </row>
    <row r="20" spans="1:13">
      <c r="A20" s="137" t="s">
        <v>258</v>
      </c>
      <c r="B20" s="126">
        <v>98800</v>
      </c>
      <c r="C20" s="126">
        <v>98800</v>
      </c>
      <c r="D20" s="126">
        <v>98800</v>
      </c>
      <c r="E20" s="126">
        <v>98800</v>
      </c>
      <c r="F20" s="126">
        <v>98800</v>
      </c>
      <c r="G20" s="126">
        <v>98800</v>
      </c>
      <c r="H20" s="126">
        <v>98800</v>
      </c>
      <c r="I20" s="126">
        <v>98800</v>
      </c>
      <c r="J20" s="126">
        <v>98800</v>
      </c>
      <c r="K20" s="126">
        <v>98800</v>
      </c>
      <c r="L20" s="126">
        <v>98800</v>
      </c>
      <c r="M20" s="127">
        <v>98800</v>
      </c>
    </row>
    <row r="21" spans="1:13">
      <c r="A21" s="137" t="s">
        <v>259</v>
      </c>
      <c r="B21" s="126">
        <v>12480</v>
      </c>
      <c r="C21" s="126">
        <v>12480</v>
      </c>
      <c r="D21" s="126">
        <v>12480</v>
      </c>
      <c r="E21" s="126">
        <v>12480</v>
      </c>
      <c r="F21" s="126">
        <v>12480</v>
      </c>
      <c r="G21" s="126">
        <v>12480</v>
      </c>
      <c r="H21" s="126">
        <v>12480</v>
      </c>
      <c r="I21" s="126">
        <v>12480</v>
      </c>
      <c r="J21" s="126">
        <v>12480</v>
      </c>
      <c r="K21" s="126">
        <v>12480</v>
      </c>
      <c r="L21" s="126">
        <v>12480</v>
      </c>
      <c r="M21" s="127">
        <v>12480</v>
      </c>
    </row>
    <row r="22" spans="1:13">
      <c r="A22" s="137" t="s">
        <v>260</v>
      </c>
      <c r="B22" s="126">
        <v>7800</v>
      </c>
      <c r="C22" s="126">
        <v>7800</v>
      </c>
      <c r="D22" s="126">
        <v>7800</v>
      </c>
      <c r="E22" s="126">
        <v>7800</v>
      </c>
      <c r="F22" s="126">
        <v>7800</v>
      </c>
      <c r="G22" s="126">
        <v>7800</v>
      </c>
      <c r="H22" s="126">
        <v>7800</v>
      </c>
      <c r="I22" s="126">
        <v>7800</v>
      </c>
      <c r="J22" s="126">
        <v>7800</v>
      </c>
      <c r="K22" s="126">
        <v>7800</v>
      </c>
      <c r="L22" s="126">
        <v>7800</v>
      </c>
      <c r="M22" s="127">
        <v>7800</v>
      </c>
    </row>
    <row r="23" spans="1:13">
      <c r="A23" s="137" t="s">
        <v>261</v>
      </c>
      <c r="B23" s="126">
        <v>26000</v>
      </c>
      <c r="C23" s="126">
        <v>26000</v>
      </c>
      <c r="D23" s="126">
        <v>26000</v>
      </c>
      <c r="E23" s="126">
        <v>26000</v>
      </c>
      <c r="F23" s="126">
        <v>26000</v>
      </c>
      <c r="G23" s="126">
        <v>26000</v>
      </c>
      <c r="H23" s="126">
        <v>26000</v>
      </c>
      <c r="I23" s="126">
        <v>26000</v>
      </c>
      <c r="J23" s="126">
        <v>26000</v>
      </c>
      <c r="K23" s="126">
        <v>26000</v>
      </c>
      <c r="L23" s="126">
        <v>26000</v>
      </c>
      <c r="M23" s="127">
        <v>26000</v>
      </c>
    </row>
    <row r="24" spans="1:13">
      <c r="A24" s="142" t="s">
        <v>262</v>
      </c>
      <c r="B24" s="144">
        <f t="shared" ref="B24:M24" si="1">SUM(B20:B23)</f>
        <v>145080</v>
      </c>
      <c r="C24" s="144">
        <f t="shared" si="1"/>
        <v>145080</v>
      </c>
      <c r="D24" s="144">
        <f t="shared" si="1"/>
        <v>145080</v>
      </c>
      <c r="E24" s="144">
        <f t="shared" si="1"/>
        <v>145080</v>
      </c>
      <c r="F24" s="144">
        <f t="shared" si="1"/>
        <v>145080</v>
      </c>
      <c r="G24" s="144">
        <f t="shared" si="1"/>
        <v>145080</v>
      </c>
      <c r="H24" s="144">
        <f t="shared" si="1"/>
        <v>145080</v>
      </c>
      <c r="I24" s="144">
        <f t="shared" si="1"/>
        <v>145080</v>
      </c>
      <c r="J24" s="144">
        <f t="shared" si="1"/>
        <v>145080</v>
      </c>
      <c r="K24" s="144">
        <f t="shared" si="1"/>
        <v>145080</v>
      </c>
      <c r="L24" s="144">
        <f t="shared" si="1"/>
        <v>145080</v>
      </c>
      <c r="M24" s="145">
        <f t="shared" si="1"/>
        <v>145080</v>
      </c>
    </row>
    <row r="28" spans="1:13" ht="15.75" customHeight="1">
      <c r="A28" s="176" t="s">
        <v>270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</row>
    <row r="29" spans="1:13" ht="15.75" customHeight="1">
      <c r="A29" s="136" t="s">
        <v>257</v>
      </c>
      <c r="B29" s="122">
        <v>46753</v>
      </c>
      <c r="C29" s="122" t="s">
        <v>293</v>
      </c>
      <c r="D29" s="122">
        <v>46813</v>
      </c>
      <c r="E29" s="122" t="s">
        <v>294</v>
      </c>
      <c r="F29" s="122" t="s">
        <v>295</v>
      </c>
      <c r="G29" s="122">
        <v>46905</v>
      </c>
      <c r="H29" s="122">
        <v>46935</v>
      </c>
      <c r="I29" s="122" t="s">
        <v>296</v>
      </c>
      <c r="J29" s="122" t="s">
        <v>297</v>
      </c>
      <c r="K29" s="122" t="s">
        <v>298</v>
      </c>
      <c r="L29" s="122">
        <v>47058</v>
      </c>
      <c r="M29" s="123" t="s">
        <v>299</v>
      </c>
    </row>
    <row r="30" spans="1:13" ht="15.75" customHeight="1">
      <c r="A30" s="137" t="s">
        <v>258</v>
      </c>
      <c r="B30" s="126">
        <v>102752.00000000001</v>
      </c>
      <c r="C30" s="126">
        <v>102752.00000000001</v>
      </c>
      <c r="D30" s="126">
        <v>102752.00000000001</v>
      </c>
      <c r="E30" s="126">
        <v>102752.00000000001</v>
      </c>
      <c r="F30" s="126">
        <v>102752.00000000001</v>
      </c>
      <c r="G30" s="126">
        <v>102752.00000000001</v>
      </c>
      <c r="H30" s="126">
        <v>102752.00000000001</v>
      </c>
      <c r="I30" s="126">
        <v>102752.00000000001</v>
      </c>
      <c r="J30" s="126">
        <v>102752.00000000001</v>
      </c>
      <c r="K30" s="126">
        <v>102752.00000000001</v>
      </c>
      <c r="L30" s="126">
        <v>102752.00000000001</v>
      </c>
      <c r="M30" s="127">
        <v>102752.00000000001</v>
      </c>
    </row>
    <row r="31" spans="1:13" ht="15.75" customHeight="1">
      <c r="A31" s="137" t="s">
        <v>259</v>
      </c>
      <c r="B31" s="126">
        <v>12979.2</v>
      </c>
      <c r="C31" s="126">
        <v>12979.2</v>
      </c>
      <c r="D31" s="126">
        <v>12979.2</v>
      </c>
      <c r="E31" s="126">
        <v>12979.2</v>
      </c>
      <c r="F31" s="126">
        <v>12979.2</v>
      </c>
      <c r="G31" s="126">
        <v>12979.2</v>
      </c>
      <c r="H31" s="126">
        <v>12979.2</v>
      </c>
      <c r="I31" s="126">
        <v>12979.2</v>
      </c>
      <c r="J31" s="126">
        <v>12979.2</v>
      </c>
      <c r="K31" s="126">
        <v>12979.2</v>
      </c>
      <c r="L31" s="126">
        <v>12979.2</v>
      </c>
      <c r="M31" s="127">
        <v>12979.2</v>
      </c>
    </row>
    <row r="32" spans="1:13" ht="15.75" customHeight="1">
      <c r="A32" s="137" t="s">
        <v>260</v>
      </c>
      <c r="B32" s="126">
        <v>8112.0000000000009</v>
      </c>
      <c r="C32" s="126">
        <v>8112.0000000000009</v>
      </c>
      <c r="D32" s="126">
        <v>8112.0000000000009</v>
      </c>
      <c r="E32" s="126">
        <v>8112.0000000000009</v>
      </c>
      <c r="F32" s="126">
        <v>8112.0000000000009</v>
      </c>
      <c r="G32" s="126">
        <v>8112.0000000000009</v>
      </c>
      <c r="H32" s="126">
        <v>8112.0000000000009</v>
      </c>
      <c r="I32" s="126">
        <v>8112.0000000000009</v>
      </c>
      <c r="J32" s="126">
        <v>8112.0000000000009</v>
      </c>
      <c r="K32" s="126">
        <v>8112.0000000000009</v>
      </c>
      <c r="L32" s="126">
        <v>8112.0000000000009</v>
      </c>
      <c r="M32" s="127">
        <v>8112.0000000000009</v>
      </c>
    </row>
    <row r="33" spans="1:13" ht="15.75" customHeight="1">
      <c r="A33" s="137" t="s">
        <v>261</v>
      </c>
      <c r="B33" s="126">
        <v>27040.000000000004</v>
      </c>
      <c r="C33" s="126">
        <v>27040.000000000004</v>
      </c>
      <c r="D33" s="126">
        <v>27040.000000000004</v>
      </c>
      <c r="E33" s="126">
        <v>27040.000000000004</v>
      </c>
      <c r="F33" s="126">
        <v>27040.000000000004</v>
      </c>
      <c r="G33" s="126">
        <v>27040.000000000004</v>
      </c>
      <c r="H33" s="126">
        <v>27040.000000000004</v>
      </c>
      <c r="I33" s="126">
        <v>27040.000000000004</v>
      </c>
      <c r="J33" s="126">
        <v>27040.000000000004</v>
      </c>
      <c r="K33" s="126">
        <v>27040.000000000004</v>
      </c>
      <c r="L33" s="126">
        <v>27040.000000000004</v>
      </c>
      <c r="M33" s="127">
        <v>27040.000000000004</v>
      </c>
    </row>
    <row r="34" spans="1:13" ht="15.75" customHeight="1">
      <c r="A34" s="142" t="s">
        <v>262</v>
      </c>
      <c r="B34" s="144">
        <f t="shared" ref="B34:M34" si="2">SUM(B30:B33)</f>
        <v>150883.20000000001</v>
      </c>
      <c r="C34" s="144">
        <f t="shared" si="2"/>
        <v>150883.20000000001</v>
      </c>
      <c r="D34" s="144">
        <f t="shared" si="2"/>
        <v>150883.20000000001</v>
      </c>
      <c r="E34" s="144">
        <f t="shared" si="2"/>
        <v>150883.20000000001</v>
      </c>
      <c r="F34" s="144">
        <f t="shared" si="2"/>
        <v>150883.20000000001</v>
      </c>
      <c r="G34" s="144">
        <f t="shared" si="2"/>
        <v>150883.20000000001</v>
      </c>
      <c r="H34" s="144">
        <f t="shared" si="2"/>
        <v>150883.20000000001</v>
      </c>
      <c r="I34" s="144">
        <f t="shared" si="2"/>
        <v>150883.20000000001</v>
      </c>
      <c r="J34" s="144">
        <f t="shared" si="2"/>
        <v>150883.20000000001</v>
      </c>
      <c r="K34" s="144">
        <f t="shared" si="2"/>
        <v>150883.20000000001</v>
      </c>
      <c r="L34" s="144">
        <f t="shared" si="2"/>
        <v>150883.20000000001</v>
      </c>
      <c r="M34" s="145">
        <f t="shared" si="2"/>
        <v>150883.20000000001</v>
      </c>
    </row>
    <row r="35" spans="1:13" ht="15.75" customHeight="1"/>
    <row r="36" spans="1:13" ht="15.75" customHeight="1"/>
    <row r="37" spans="1:13" ht="15.75" customHeight="1"/>
    <row r="38" spans="1:13" ht="15.75" customHeight="1">
      <c r="A38" s="176" t="s">
        <v>271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</row>
    <row r="39" spans="1:13" ht="15.75" customHeight="1">
      <c r="A39" s="136" t="s">
        <v>257</v>
      </c>
      <c r="B39" s="122">
        <v>47119</v>
      </c>
      <c r="C39" s="122" t="s">
        <v>300</v>
      </c>
      <c r="D39" s="122">
        <v>47178</v>
      </c>
      <c r="E39" s="122" t="s">
        <v>301</v>
      </c>
      <c r="F39" s="122" t="s">
        <v>302</v>
      </c>
      <c r="G39" s="122">
        <v>47270</v>
      </c>
      <c r="H39" s="122">
        <v>47300</v>
      </c>
      <c r="I39" s="122" t="s">
        <v>303</v>
      </c>
      <c r="J39" s="122" t="s">
        <v>304</v>
      </c>
      <c r="K39" s="122" t="s">
        <v>305</v>
      </c>
      <c r="L39" s="122">
        <v>47423</v>
      </c>
      <c r="M39" s="123" t="s">
        <v>306</v>
      </c>
    </row>
    <row r="40" spans="1:13" ht="15.75" customHeight="1">
      <c r="A40" s="137" t="s">
        <v>258</v>
      </c>
      <c r="B40" s="126">
        <v>106862.08</v>
      </c>
      <c r="C40" s="126">
        <v>106862.08</v>
      </c>
      <c r="D40" s="126">
        <v>106862.08</v>
      </c>
      <c r="E40" s="126">
        <v>106862.08</v>
      </c>
      <c r="F40" s="126">
        <v>106862.08</v>
      </c>
      <c r="G40" s="126">
        <v>106862.08</v>
      </c>
      <c r="H40" s="126">
        <v>106862.08</v>
      </c>
      <c r="I40" s="126">
        <v>106862.08</v>
      </c>
      <c r="J40" s="126">
        <v>106862.08</v>
      </c>
      <c r="K40" s="126">
        <v>106862.08</v>
      </c>
      <c r="L40" s="126">
        <v>106862.08</v>
      </c>
      <c r="M40" s="127">
        <v>106862.08</v>
      </c>
    </row>
    <row r="41" spans="1:13" ht="15.75" customHeight="1">
      <c r="A41" s="137" t="s">
        <v>259</v>
      </c>
      <c r="B41" s="126">
        <v>13498.368</v>
      </c>
      <c r="C41" s="126">
        <v>13498.368</v>
      </c>
      <c r="D41" s="126">
        <v>13498.368</v>
      </c>
      <c r="E41" s="126">
        <v>13498.368</v>
      </c>
      <c r="F41" s="126">
        <v>13498.368</v>
      </c>
      <c r="G41" s="126">
        <v>13498.368</v>
      </c>
      <c r="H41" s="126">
        <v>13498.368</v>
      </c>
      <c r="I41" s="126">
        <v>13498.368</v>
      </c>
      <c r="J41" s="126">
        <v>13498.368</v>
      </c>
      <c r="K41" s="126">
        <v>13498.368</v>
      </c>
      <c r="L41" s="126">
        <v>13498.368</v>
      </c>
      <c r="M41" s="127">
        <v>13498.368</v>
      </c>
    </row>
    <row r="42" spans="1:13" ht="15.75" customHeight="1">
      <c r="A42" s="137" t="s">
        <v>260</v>
      </c>
      <c r="B42" s="126">
        <v>8436.4800000000014</v>
      </c>
      <c r="C42" s="126">
        <v>8436.4800000000014</v>
      </c>
      <c r="D42" s="126">
        <v>8436.4800000000014</v>
      </c>
      <c r="E42" s="126">
        <v>8436.4800000000014</v>
      </c>
      <c r="F42" s="126">
        <v>8436.4800000000014</v>
      </c>
      <c r="G42" s="126">
        <v>8436.4800000000014</v>
      </c>
      <c r="H42" s="126">
        <v>8436.4800000000014</v>
      </c>
      <c r="I42" s="126">
        <v>8436.4800000000014</v>
      </c>
      <c r="J42" s="126">
        <v>8436.4800000000014</v>
      </c>
      <c r="K42" s="126">
        <v>8436.4800000000014</v>
      </c>
      <c r="L42" s="126">
        <v>8436.4800000000014</v>
      </c>
      <c r="M42" s="127">
        <v>8436.4800000000014</v>
      </c>
    </row>
    <row r="43" spans="1:13" ht="15.75" customHeight="1">
      <c r="A43" s="137" t="s">
        <v>261</v>
      </c>
      <c r="B43" s="126">
        <v>28121.600000000002</v>
      </c>
      <c r="C43" s="126">
        <v>28121.600000000002</v>
      </c>
      <c r="D43" s="126">
        <v>28121.600000000002</v>
      </c>
      <c r="E43" s="126">
        <v>28121.600000000002</v>
      </c>
      <c r="F43" s="126">
        <v>28121.600000000002</v>
      </c>
      <c r="G43" s="126">
        <v>28121.600000000002</v>
      </c>
      <c r="H43" s="126">
        <v>28121.600000000002</v>
      </c>
      <c r="I43" s="126">
        <v>28121.600000000002</v>
      </c>
      <c r="J43" s="126">
        <v>28121.600000000002</v>
      </c>
      <c r="K43" s="126">
        <v>28121.600000000002</v>
      </c>
      <c r="L43" s="126">
        <v>28121.600000000002</v>
      </c>
      <c r="M43" s="127">
        <v>28121.600000000002</v>
      </c>
    </row>
    <row r="44" spans="1:13" ht="15.75" customHeight="1">
      <c r="A44" s="142" t="s">
        <v>262</v>
      </c>
      <c r="B44" s="144">
        <f t="shared" ref="B44:M44" si="3">SUM(B40:B43)</f>
        <v>156918.52799999999</v>
      </c>
      <c r="C44" s="144">
        <f t="shared" si="3"/>
        <v>156918.52799999999</v>
      </c>
      <c r="D44" s="144">
        <f t="shared" si="3"/>
        <v>156918.52799999999</v>
      </c>
      <c r="E44" s="144">
        <f t="shared" si="3"/>
        <v>156918.52799999999</v>
      </c>
      <c r="F44" s="144">
        <f t="shared" si="3"/>
        <v>156918.52799999999</v>
      </c>
      <c r="G44" s="144">
        <f t="shared" si="3"/>
        <v>156918.52799999999</v>
      </c>
      <c r="H44" s="144">
        <f t="shared" si="3"/>
        <v>156918.52799999999</v>
      </c>
      <c r="I44" s="144">
        <f t="shared" si="3"/>
        <v>156918.52799999999</v>
      </c>
      <c r="J44" s="144">
        <f t="shared" si="3"/>
        <v>156918.52799999999</v>
      </c>
      <c r="K44" s="144">
        <f t="shared" si="3"/>
        <v>156918.52799999999</v>
      </c>
      <c r="L44" s="144">
        <f t="shared" si="3"/>
        <v>156918.52799999999</v>
      </c>
      <c r="M44" s="145">
        <f t="shared" si="3"/>
        <v>156918.52799999999</v>
      </c>
    </row>
    <row r="45" spans="1:13" ht="15.75" customHeight="1"/>
    <row r="46" spans="1:13" ht="15.75" customHeight="1"/>
    <row r="47" spans="1:13" ht="15.75" customHeight="1">
      <c r="A47" s="176" t="s">
        <v>272</v>
      </c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</row>
    <row r="48" spans="1:13" ht="15.75" customHeight="1">
      <c r="A48" s="136" t="s">
        <v>257</v>
      </c>
      <c r="B48" s="178" t="s">
        <v>314</v>
      </c>
      <c r="C48" s="122" t="s">
        <v>307</v>
      </c>
      <c r="D48" s="178" t="s">
        <v>315</v>
      </c>
      <c r="E48" s="122" t="s">
        <v>308</v>
      </c>
      <c r="F48" s="122" t="s">
        <v>309</v>
      </c>
      <c r="G48" s="122">
        <v>47635</v>
      </c>
      <c r="H48" s="122">
        <v>47665</v>
      </c>
      <c r="I48" s="122" t="s">
        <v>310</v>
      </c>
      <c r="J48" s="122" t="s">
        <v>311</v>
      </c>
      <c r="K48" s="122" t="s">
        <v>312</v>
      </c>
      <c r="L48" s="122">
        <v>47788</v>
      </c>
      <c r="M48" s="123" t="s">
        <v>313</v>
      </c>
    </row>
    <row r="49" spans="1:13" ht="15.75" customHeight="1">
      <c r="A49" s="137" t="s">
        <v>258</v>
      </c>
      <c r="B49" s="126">
        <v>111136.56320000002</v>
      </c>
      <c r="C49" s="126">
        <v>111136.56320000002</v>
      </c>
      <c r="D49" s="126">
        <v>111136.56320000002</v>
      </c>
      <c r="E49" s="126">
        <v>111136.56320000002</v>
      </c>
      <c r="F49" s="126">
        <v>111136.56320000002</v>
      </c>
      <c r="G49" s="126">
        <v>111136.56320000002</v>
      </c>
      <c r="H49" s="126">
        <v>111136.56320000002</v>
      </c>
      <c r="I49" s="126">
        <v>111136.56320000002</v>
      </c>
      <c r="J49" s="126">
        <v>111136.56320000002</v>
      </c>
      <c r="K49" s="126">
        <v>111136.56320000002</v>
      </c>
      <c r="L49" s="126">
        <v>111136.56320000002</v>
      </c>
      <c r="M49" s="127">
        <v>111136.56320000002</v>
      </c>
    </row>
    <row r="50" spans="1:13" ht="15.75" customHeight="1">
      <c r="A50" s="137" t="s">
        <v>259</v>
      </c>
      <c r="B50" s="126">
        <v>14038.302720000003</v>
      </c>
      <c r="C50" s="126">
        <v>14038.302720000003</v>
      </c>
      <c r="D50" s="126">
        <v>14038.302720000003</v>
      </c>
      <c r="E50" s="126">
        <v>14038.302720000003</v>
      </c>
      <c r="F50" s="126">
        <v>14038.302720000003</v>
      </c>
      <c r="G50" s="126">
        <v>14038.302720000003</v>
      </c>
      <c r="H50" s="126">
        <v>14038.302720000003</v>
      </c>
      <c r="I50" s="126">
        <v>14038.302720000003</v>
      </c>
      <c r="J50" s="126">
        <v>14038.302720000003</v>
      </c>
      <c r="K50" s="126">
        <v>14038.302720000003</v>
      </c>
      <c r="L50" s="126">
        <v>14038.302720000003</v>
      </c>
      <c r="M50" s="127">
        <v>14038.302720000003</v>
      </c>
    </row>
    <row r="51" spans="1:13" ht="15.75" customHeight="1">
      <c r="A51" s="137" t="s">
        <v>260</v>
      </c>
      <c r="B51" s="126">
        <v>8773.9392000000007</v>
      </c>
      <c r="C51" s="126">
        <v>8773.9392000000007</v>
      </c>
      <c r="D51" s="126">
        <v>8773.9392000000007</v>
      </c>
      <c r="E51" s="126">
        <v>8773.9392000000007</v>
      </c>
      <c r="F51" s="126">
        <v>8773.9392000000007</v>
      </c>
      <c r="G51" s="126">
        <v>8773.9392000000007</v>
      </c>
      <c r="H51" s="126">
        <v>8773.9392000000007</v>
      </c>
      <c r="I51" s="126">
        <v>8773.9392000000007</v>
      </c>
      <c r="J51" s="126">
        <v>8773.9392000000007</v>
      </c>
      <c r="K51" s="126">
        <v>8773.9392000000007</v>
      </c>
      <c r="L51" s="126">
        <v>8773.9392000000007</v>
      </c>
      <c r="M51" s="127">
        <v>8773.9392000000007</v>
      </c>
    </row>
    <row r="52" spans="1:13" ht="15.75" customHeight="1">
      <c r="A52" s="137" t="s">
        <v>261</v>
      </c>
      <c r="B52" s="126">
        <v>29246.464000000004</v>
      </c>
      <c r="C52" s="126">
        <v>29246.464000000004</v>
      </c>
      <c r="D52" s="126">
        <v>29246.464000000004</v>
      </c>
      <c r="E52" s="126">
        <v>29246.464000000004</v>
      </c>
      <c r="F52" s="126">
        <v>29246.464000000004</v>
      </c>
      <c r="G52" s="126">
        <v>29246.464000000004</v>
      </c>
      <c r="H52" s="126">
        <v>29246.464000000004</v>
      </c>
      <c r="I52" s="126">
        <v>29246.464000000004</v>
      </c>
      <c r="J52" s="126">
        <v>29246.464000000004</v>
      </c>
      <c r="K52" s="126">
        <v>29246.464000000004</v>
      </c>
      <c r="L52" s="126">
        <v>29246.464000000004</v>
      </c>
      <c r="M52" s="127">
        <v>29246.464000000004</v>
      </c>
    </row>
    <row r="53" spans="1:13" ht="15.75" customHeight="1">
      <c r="A53" s="142" t="s">
        <v>262</v>
      </c>
      <c r="B53" s="144">
        <f t="shared" ref="B53:M53" si="4">SUM(B49:B52)</f>
        <v>163195.26912000004</v>
      </c>
      <c r="C53" s="144">
        <f t="shared" si="4"/>
        <v>163195.26912000004</v>
      </c>
      <c r="D53" s="144">
        <f t="shared" si="4"/>
        <v>163195.26912000004</v>
      </c>
      <c r="E53" s="144">
        <f t="shared" si="4"/>
        <v>163195.26912000004</v>
      </c>
      <c r="F53" s="144">
        <f t="shared" si="4"/>
        <v>163195.26912000004</v>
      </c>
      <c r="G53" s="144">
        <f t="shared" si="4"/>
        <v>163195.26912000004</v>
      </c>
      <c r="H53" s="144">
        <f t="shared" si="4"/>
        <v>163195.26912000004</v>
      </c>
      <c r="I53" s="144">
        <f t="shared" si="4"/>
        <v>163195.26912000004</v>
      </c>
      <c r="J53" s="144">
        <f t="shared" si="4"/>
        <v>163195.26912000004</v>
      </c>
      <c r="K53" s="144">
        <f t="shared" si="4"/>
        <v>163195.26912000004</v>
      </c>
      <c r="L53" s="144">
        <f t="shared" si="4"/>
        <v>163195.26912000004</v>
      </c>
      <c r="M53" s="145">
        <f t="shared" si="4"/>
        <v>163195.26912000004</v>
      </c>
    </row>
    <row r="54" spans="1:13" ht="15.75" customHeight="1">
      <c r="A54" s="13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</row>
    <row r="55" spans="1:13" ht="15.75" customHeight="1"/>
    <row r="56" spans="1:13" ht="15.75" customHeight="1">
      <c r="A56" s="173" t="s">
        <v>273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5"/>
    </row>
    <row r="57" spans="1:13" ht="15.75" customHeight="1">
      <c r="A57" s="140" t="s">
        <v>257</v>
      </c>
      <c r="B57" s="122">
        <v>45658</v>
      </c>
      <c r="C57" s="122" t="s">
        <v>316</v>
      </c>
      <c r="D57" s="122">
        <v>45717</v>
      </c>
      <c r="E57" s="122" t="s">
        <v>317</v>
      </c>
      <c r="F57" s="122" t="s">
        <v>318</v>
      </c>
      <c r="G57" s="122">
        <v>45809</v>
      </c>
      <c r="H57" s="122">
        <v>45839</v>
      </c>
      <c r="I57" s="122" t="s">
        <v>319</v>
      </c>
      <c r="J57" s="122" t="s">
        <v>320</v>
      </c>
      <c r="K57" s="122" t="s">
        <v>321</v>
      </c>
      <c r="L57" s="122">
        <v>45962</v>
      </c>
      <c r="M57" s="123" t="s">
        <v>322</v>
      </c>
    </row>
    <row r="58" spans="1:13" ht="15.75" customHeight="1">
      <c r="A58" s="141" t="s">
        <v>263</v>
      </c>
      <c r="B58" s="130">
        <v>203807.07639330436</v>
      </c>
      <c r="C58" s="131">
        <v>187674.97360296201</v>
      </c>
      <c r="D58" s="131">
        <v>215627.59615559728</v>
      </c>
      <c r="E58" s="131">
        <v>199883.05139024812</v>
      </c>
      <c r="F58" s="131">
        <v>214537.58921030388</v>
      </c>
      <c r="G58" s="131">
        <v>199883.05139024812</v>
      </c>
      <c r="H58" s="131">
        <v>203807.07639330436</v>
      </c>
      <c r="I58" s="131">
        <v>214537.58921030388</v>
      </c>
      <c r="J58" s="131">
        <v>197703.0374996613</v>
      </c>
      <c r="K58" s="131">
        <v>202717.06944801097</v>
      </c>
      <c r="L58" s="131">
        <v>210613.5642072476</v>
      </c>
      <c r="M58" s="132">
        <v>204897.08333859779</v>
      </c>
    </row>
    <row r="59" spans="1:13" ht="15.75" customHeight="1">
      <c r="A59" s="141" t="s">
        <v>264</v>
      </c>
      <c r="B59" s="130">
        <v>42070</v>
      </c>
      <c r="C59" s="131">
        <v>38740</v>
      </c>
      <c r="D59" s="131">
        <v>44510</v>
      </c>
      <c r="E59" s="131">
        <v>41260</v>
      </c>
      <c r="F59" s="131">
        <v>44285</v>
      </c>
      <c r="G59" s="131">
        <v>41260</v>
      </c>
      <c r="H59" s="131">
        <v>42070</v>
      </c>
      <c r="I59" s="131">
        <v>44285</v>
      </c>
      <c r="J59" s="131">
        <v>40810</v>
      </c>
      <c r="K59" s="131">
        <v>41845</v>
      </c>
      <c r="L59" s="131">
        <v>43475</v>
      </c>
      <c r="M59" s="132">
        <v>42295</v>
      </c>
    </row>
    <row r="60" spans="1:13" ht="15.75" customHeight="1">
      <c r="A60" s="141" t="s">
        <v>265</v>
      </c>
      <c r="B60" s="130">
        <v>245877.07639330436</v>
      </c>
      <c r="C60" s="131">
        <v>226414.97360296201</v>
      </c>
      <c r="D60" s="131">
        <v>260137.59615559728</v>
      </c>
      <c r="E60" s="131">
        <v>241143.05139024812</v>
      </c>
      <c r="F60" s="131">
        <v>258822.58921030388</v>
      </c>
      <c r="G60" s="131">
        <v>241143.05139024812</v>
      </c>
      <c r="H60" s="131">
        <v>245877.07639330436</v>
      </c>
      <c r="I60" s="131">
        <v>258822.58921030388</v>
      </c>
      <c r="J60" s="131">
        <v>238513.0374996613</v>
      </c>
      <c r="K60" s="131">
        <v>244562.06944801097</v>
      </c>
      <c r="L60" s="131">
        <v>254088.5642072476</v>
      </c>
      <c r="M60" s="132">
        <v>247192.08333859779</v>
      </c>
    </row>
    <row r="61" spans="1:13" ht="15.75" customHeight="1">
      <c r="A61" s="141" t="s">
        <v>266</v>
      </c>
      <c r="B61" s="130">
        <v>170804.2</v>
      </c>
      <c r="C61" s="131">
        <v>157284.40000000002</v>
      </c>
      <c r="D61" s="131">
        <v>180710.6</v>
      </c>
      <c r="E61" s="131">
        <v>167515.6</v>
      </c>
      <c r="F61" s="131">
        <v>179797.1</v>
      </c>
      <c r="G61" s="131">
        <v>167515.6</v>
      </c>
      <c r="H61" s="131">
        <v>170804.2</v>
      </c>
      <c r="I61" s="131">
        <v>179797.1</v>
      </c>
      <c r="J61" s="131">
        <v>165688.6</v>
      </c>
      <c r="K61" s="131">
        <v>169890.7</v>
      </c>
      <c r="L61" s="131">
        <v>176508.5</v>
      </c>
      <c r="M61" s="132">
        <v>171717.7</v>
      </c>
    </row>
    <row r="62" spans="1:13" ht="15.75" customHeight="1">
      <c r="A62" s="143" t="s">
        <v>262</v>
      </c>
      <c r="B62" s="146">
        <v>556181.27639330435</v>
      </c>
      <c r="C62" s="147">
        <v>523199.373602962</v>
      </c>
      <c r="D62" s="147">
        <v>580348.19615559722</v>
      </c>
      <c r="E62" s="147">
        <v>548158.65139024809</v>
      </c>
      <c r="F62" s="147">
        <v>578119.68921030383</v>
      </c>
      <c r="G62" s="147">
        <v>548158.65139024809</v>
      </c>
      <c r="H62" s="147">
        <v>556181.27639330435</v>
      </c>
      <c r="I62" s="147">
        <v>578119.68921030383</v>
      </c>
      <c r="J62" s="147">
        <v>543701.6374996613</v>
      </c>
      <c r="K62" s="147">
        <v>553952.76944801095</v>
      </c>
      <c r="L62" s="147">
        <v>570097.06420724757</v>
      </c>
      <c r="M62" s="148">
        <v>558409.78333859774</v>
      </c>
    </row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7">
    <mergeCell ref="A7:C7"/>
    <mergeCell ref="A56:M56"/>
    <mergeCell ref="A9:M9"/>
    <mergeCell ref="A18:M18"/>
    <mergeCell ref="A28:M28"/>
    <mergeCell ref="A38:M38"/>
    <mergeCell ref="A47:M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</vt:lpstr>
      <vt:lpstr>Summary</vt:lpstr>
      <vt:lpstr>Income Statement_Main</vt:lpstr>
      <vt:lpstr>Income Statement_Branch</vt:lpstr>
      <vt:lpstr>Cash Flow</vt:lpstr>
      <vt:lpstr>Balance Sheet</vt:lpstr>
      <vt:lpstr>Revenue</vt:lpstr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Cavalcante</cp:lastModifiedBy>
  <dcterms:modified xsi:type="dcterms:W3CDTF">2026-09-25T19:55:57Z</dcterms:modified>
</cp:coreProperties>
</file>